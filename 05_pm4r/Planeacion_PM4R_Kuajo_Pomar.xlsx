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3.xml.rels" ContentType="application/vnd.openxmlformats-package.relationships+xml"/>
  <Override PartName="/xl/worksheets/_rels/sheet12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Supuestos" sheetId="2" state="visible" r:id="rId4"/>
    <sheet name="Nomina_Kuajo" sheetId="3" state="visible" r:id="rId5"/>
    <sheet name="VSM_Actual" sheetId="4" state="visible" r:id="rId6"/>
    <sheet name="Simulacion" sheetId="5" state="visible" r:id="rId7"/>
    <sheet name="Lineas_2_3" sheetId="6" state="visible" r:id="rId8"/>
    <sheet name="Recursos_compartidos" sheetId="7" state="visible" r:id="rId9"/>
    <sheet name="Cotizaciones" sheetId="8" state="visible" r:id="rId10"/>
    <sheet name="Instrumentos" sheetId="9" state="visible" r:id="rId11"/>
    <sheet name="Cronograma" sheetId="10" state="visible" r:id="rId12"/>
    <sheet name="Precio_Kuajo" sheetId="11" state="visible" r:id="rId13"/>
    <sheet name="Curva_S" sheetId="12" state="visible" r:id="rId14"/>
    <sheet name="Beneficios_OPEX" sheetId="13" state="visible" r:id="rId15"/>
    <sheet name="Flujo_Pomar" sheetId="14" state="visible" r:id="rId16"/>
    <sheet name="Kuajo_PyG_Flujo" sheetId="15" state="visible" r:id="rId17"/>
    <sheet name="Sensibilidad" sheetId="16" state="visible" r:id="rId18"/>
    <sheet name="EDT" sheetId="17" state="visible" r:id="rId19"/>
    <sheet name="Riesgos" sheetId="18" state="visible" r:id="rId20"/>
    <sheet name="Adquisiciones" sheetId="19" state="visible" r:id="rId21"/>
    <sheet name="Comunicaciones" sheetId="20" state="visible" r:id="rId22"/>
    <sheet name="RACI" sheetId="21" state="visible" r:id="rId23"/>
    <sheet name="Oferta" sheetId="22" state="visible" r:id="rId24"/>
    <sheet name="Fuentes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<sst xmlns="http://schemas.openxmlformats.org/spreadsheetml/2006/main" count="4119" uniqueCount="2286">
  <si>
    <t xml:space="preserve">Kuajo Automation — Planeación y evaluación del proyecto de automatización para Lácteos Pomar (PM4R)</t>
  </si>
  <si>
    <t xml:space="preserve">Caso académico · Proyecto Integrador APM 2026-2 · Valores en COP sin IVA · Precios y tasas a octubre de 2026</t>
  </si>
  <si>
    <t xml:space="preserve">Indicador</t>
  </si>
  <si>
    <t xml:space="preserve">Valor</t>
  </si>
  <si>
    <t xml:space="preserve">Lectura</t>
  </si>
  <si>
    <t xml:space="preserve">Precio de la oferta (Fase 1, sin IVA)</t>
  </si>
  <si>
    <t xml:space="preserve">Lo que Pomar paga a Kuajo</t>
  </si>
  <si>
    <t xml:space="preserve">Precio en US$</t>
  </si>
  <si>
    <t xml:space="preserve">A la TRM de octubre de 2026</t>
  </si>
  <si>
    <t xml:space="preserve">Duración (semanas)</t>
  </si>
  <si>
    <t xml:space="preserve">Ruta crítica del cronograma</t>
  </si>
  <si>
    <t xml:space="preserve">VPN para Pomar a la TIO</t>
  </si>
  <si>
    <t xml:space="preserve">Positivo = la inversión crea valor</t>
  </si>
  <si>
    <t xml:space="preserve">TIR para Pomar</t>
  </si>
  <si>
    <t xml:space="preserve">Comparar con la TIO</t>
  </si>
  <si>
    <t xml:space="preserve">TIO de Pomar</t>
  </si>
  <si>
    <t xml:space="preserve">WACC + prima de proyecto</t>
  </si>
  <si>
    <t xml:space="preserve">Recuperación simple de Pomar (años)</t>
  </si>
  <si>
    <t xml:space="preserve">Recuperación descontada de Pomar (años)</t>
  </si>
  <si>
    <t xml:space="preserve">Factor de beneficios de equilibrio</t>
  </si>
  <si>
    <t xml:space="preserve">Los beneficios pueden caer hasta este nivel y el VPN sigue ≥ 0</t>
  </si>
  <si>
    <t xml:space="preserve">Utilidad neta de Kuajo en el proyecto</t>
  </si>
  <si>
    <t xml:space="preserve">Después de salarios, gastos, contingencia e impuestos</t>
  </si>
  <si>
    <t xml:space="preserve">Margen neto de Kuajo</t>
  </si>
  <si>
    <t xml:space="preserve">VPN para Kuajo (TIO 20 %)</t>
  </si>
  <si>
    <t xml:space="preserve">Saldo de caja mínimo de Kuajo</t>
  </si>
  <si>
    <t xml:space="preserve">Negativo = meses financiados con el crédito rotativo</t>
  </si>
  <si>
    <t xml:space="preserve">Cobertura de la contingencia sobre el riesgo esperado</t>
  </si>
  <si>
    <t xml:space="preserve">≥ 1 = la contingencia cubre el valor esperado de los riesgos</t>
  </si>
  <si>
    <t xml:space="preserve">Crédito rotativo máximo de Kuajo</t>
  </si>
  <si>
    <t xml:space="preserve">Por el cobro a 30 días; cupo y tasa en Supuestos</t>
  </si>
  <si>
    <t xml:space="preserve">Hojas del libro</t>
  </si>
  <si>
    <t xml:space="preserve">Supuestos</t>
  </si>
  <si>
    <t xml:space="preserve">Todos los datos de entrada con su fuente</t>
  </si>
  <si>
    <t xml:space="preserve">VSM_Actual</t>
  </si>
  <si>
    <t xml:space="preserve">Estado actual de la línea de yogures: VSM, OEE, cuello de botella, lead time y KPIs base</t>
  </si>
  <si>
    <t xml:space="preserve">Lineas_2_3</t>
  </si>
  <si>
    <t xml:space="preserve">Resultados esperados de las líneas 2 y 3 y del proyecto de planta completa (referencia ±30 %)</t>
  </si>
  <si>
    <t xml:space="preserve">Recursos_compartidos</t>
  </si>
  <si>
    <t xml:space="preserve">Capacidad y utilización de los recursos que comparten las 3 líneas</t>
  </si>
  <si>
    <t xml:space="preserve">Nomina_Kuajo</t>
  </si>
  <si>
    <t xml:space="preserve">Salarios de los 6 integrantes, factor prestacional y gastos generales</t>
  </si>
  <si>
    <t xml:space="preserve">Cotizaciones</t>
  </si>
  <si>
    <t xml:space="preserve">Precios de referencia de cada suministro, con fuente o marcados como estimación</t>
  </si>
  <si>
    <t xml:space="preserve">Precio_Kuajo</t>
  </si>
  <si>
    <t xml:space="preserve">Del costo de Kuajo al precio de la oferta</t>
  </si>
  <si>
    <t xml:space="preserve">Cronograma</t>
  </si>
  <si>
    <t xml:space="preserve">Actividades, ruta crítica (CPM) y Gantt</t>
  </si>
  <si>
    <t xml:space="preserve">Curva_S</t>
  </si>
  <si>
    <t xml:space="preserve">Valor planificado mensual y acumulado</t>
  </si>
  <si>
    <t xml:space="preserve">EDT</t>
  </si>
  <si>
    <t xml:space="preserve">Estructura desglosada del trabajo</t>
  </si>
  <si>
    <t xml:space="preserve">Beneficios_OPEX</t>
  </si>
  <si>
    <t xml:space="preserve">Margen por kg, beneficios anuales y costos de operación de Pomar</t>
  </si>
  <si>
    <t xml:space="preserve">Flujo_Pomar</t>
  </si>
  <si>
    <t xml:space="preserve">Flujo de caja, VPN, TIR y recuperación de Pomar</t>
  </si>
  <si>
    <t xml:space="preserve">Kuajo_PyG_Flujo</t>
  </si>
  <si>
    <t xml:space="preserve">Estado de resultados y flujo de caja mensual de Kuajo</t>
  </si>
  <si>
    <t xml:space="preserve">Sensibilidad</t>
  </si>
  <si>
    <t xml:space="preserve">Escenarios y punto de equilibrio</t>
  </si>
  <si>
    <t xml:space="preserve">Riesgos</t>
  </si>
  <si>
    <t xml:space="preserve">Matriz de riesgos y mapa de calor</t>
  </si>
  <si>
    <t xml:space="preserve">Adquisiciones</t>
  </si>
  <si>
    <t xml:space="preserve">Matriz de adquisiciones</t>
  </si>
  <si>
    <t xml:space="preserve">Comunicaciones</t>
  </si>
  <si>
    <t xml:space="preserve">Matriz de comunicaciones</t>
  </si>
  <si>
    <t xml:space="preserve">RACI</t>
  </si>
  <si>
    <t xml:space="preserve">Matriz de responsabilidades</t>
  </si>
  <si>
    <t xml:space="preserve">Oferta</t>
  </si>
  <si>
    <t xml:space="preserve">Oferta comercial y propuesta de valor</t>
  </si>
  <si>
    <t xml:space="preserve">Fuentes</t>
  </si>
  <si>
    <t xml:space="preserve">Enlaces a las fuentes</t>
  </si>
  <si>
    <t xml:space="preserve">Instrumentos</t>
  </si>
  <si>
    <t xml:space="preserve">Lista única de instrumentos y actuadores de la línea 1 (fuente de las tablas 12.1 y 12.2 y del P&amp;ID)</t>
  </si>
  <si>
    <t xml:space="preserve">Simulacion</t>
  </si>
  <si>
    <t xml:space="preserve">Resultados del simulador de eventos discretos (sim.py, sección 6.9): escenarios actual y propuesto, 10 réplicas</t>
  </si>
  <si>
    <t xml:space="preserve">Convención de colores: azul = dato de entrada · negro = fórmula · verde = vínculo a otra hoja. El libro tiene 23 hojas: portada y 22 hojas de cálculo.</t>
  </si>
  <si>
    <t xml:space="preserve">Supuestos del modelo — Proyecto de automatización Kuajo Automation → Lácteos Pomar</t>
  </si>
  <si>
    <t xml:space="preserve">Azul = dato de entrada editable · Negro = fórmula · Verde = vínculo a otra hoja · Fondo amarillo = supuesto clave. Valores en COP sin IVA salvo que se indique.</t>
  </si>
  <si>
    <t xml:space="preserve">Parámetro</t>
  </si>
  <si>
    <t xml:space="preserve">Unidad</t>
  </si>
  <si>
    <t xml:space="preserve">Fuente o justificación</t>
  </si>
  <si>
    <t xml:space="preserve">Macroeconomía y tasas</t>
  </si>
  <si>
    <t xml:space="preserve">TRM (tasa de cambio)</t>
  </si>
  <si>
    <t xml:space="preserve">COP/USD</t>
  </si>
  <si>
    <t xml:space="preserve">TRM del 3–5 oct. 2026 (Noticias Caracol, 5 oct. 2026)</t>
  </si>
  <si>
    <t xml:space="preserve">Inflación esperada Colombia (horizonte 2 años)</t>
  </si>
  <si>
    <t xml:space="preserve">% anual</t>
  </si>
  <si>
    <t xml:space="preserve">Banco de la República, encuesta de expectativas de sept. 2026: 4,0 % a dos años</t>
  </si>
  <si>
    <t xml:space="preserve">Inflación esperada EE. UU.</t>
  </si>
  <si>
    <t xml:space="preserve">Supuesto (meta de la Reserva Federal + margen); se usa solo para convertir el costo de capital a COP</t>
  </si>
  <si>
    <t xml:space="preserve">Tasa de política monetaria Banco de la República</t>
  </si>
  <si>
    <t xml:space="preserve">Banco de la República, decisión del 30 sept. 2026 (12,25 %)</t>
  </si>
  <si>
    <t xml:space="preserve">Tasa de impuesto de renta (personas jurídicas)</t>
  </si>
  <si>
    <t xml:space="preserve">%</t>
  </si>
  <si>
    <t xml:space="preserve">Estatuto Tributario art. 240; Damodaran, ctryprem (Colombia 35 %, ene. 2026)</t>
  </si>
  <si>
    <t xml:space="preserve">Importación: componentes del costo de nacionalización (sobre el valor FOB de cada equipo importado)</t>
  </si>
  <si>
    <t xml:space="preserve">Flete internacional (marítimo desde Europa o EE. UU.; aéreo para instrumentos pequeños)</t>
  </si>
  <si>
    <t xml:space="preserve">% del FOB</t>
  </si>
  <si>
    <t xml:space="preserve">≈ 6 contenedores de 40 pies a US$3.000–4.500 cada uno sobre ≈ US$0,97 millones FOB ≈ 2,5 %; se toma 3 % por envíos aéreos. Referencia: 20 pies Port Everglades–Cartagena 1.469 € en 4 días (iContainers, oct. 2026)</t>
  </si>
  <si>
    <t xml:space="preserve">Seguro de transporte internacional</t>
  </si>
  <si>
    <t xml:space="preserve">Prima habitual de seguro de carga de 0,3–0,5 % del valor CIF; se toma el extremo alto por ser equipo sensible</t>
  </si>
  <si>
    <t xml:space="preserve">Agencia de aduanas, gastos portuarios y documentales</t>
  </si>
  <si>
    <t xml:space="preserve">Banco Mundial (Doing Business): cumplimiento fronterizo US$545 y documental US$50 por embarque en Colombia, más honorarios de la agencia (obligatoria para importaciones &gt; US$1.000 FOB, trade.gov)</t>
  </si>
  <si>
    <t xml:space="preserve">Transporte terrestre Cartagena–Cajicá con seguro</t>
  </si>
  <si>
    <t xml:space="preserve">Mundo Marítimo: US$1.330 por contenedor Cartagena–Bogotá (2019), ajustado a ≈ US$1.900 en 2026 × 6 contenedores ≈ 1,2 %; se toma 1,5 % por carga sobredimensionada de la celda</t>
  </si>
  <si>
    <t xml:space="preserve">Arancel de importación</t>
  </si>
  <si>
    <t xml:space="preserve">Decreto 272 de 2018: arancel 0 % para bienes de capital no producidos en Colombia; los Decretos 2616 de 2022 y 324 de 2024 solo restablecen subpartidas con producción nacional (bombas, refrigeradores, cables). Los robots (subpartida 8479.50.00.00, a confirmar con la agencia de aduanas) se compran de fabricación sueca con certificado de origen UE (Acuerdo Comercial UE–Colombia, 0 %); E+H, Alfa Laval y Mettler-Toledo también son de origen UE y Rockwell, Cisco y Dell de EE. UU. (TLC, 0 %). Riesgo residual: 5 % ≈ $160 M, cubierto por la contingencia.</t>
  </si>
  <si>
    <t xml:space="preserve">Bodegaje en puerto, demoras e imprevistos logísticos</t>
  </si>
  <si>
    <t xml:space="preserve">Reserva para almacenamiento en puerto, inspección física de la DIAN y demoras (tiempo de importación en Colombia: 112 h de cumplimiento fronterizo + 64 h documental, Banco Mundial)</t>
  </si>
  <si>
    <t xml:space="preserve">Costo total de nacionalización de equipos importados</t>
  </si>
  <si>
    <t xml:space="preserve">% del valor FOB</t>
  </si>
  <si>
    <t xml:space="preserve">Suma de los componentes anteriores; se aplica a cada ítem importado de la hoja Cotizaciones</t>
  </si>
  <si>
    <t xml:space="preserve">Costo de capital de Pomar (WACC) y tasa de oportunidad</t>
  </si>
  <si>
    <t xml:space="preserve">Tasa libre de riesgo (bono del Tesoro EE. UU. a 10 años)</t>
  </si>
  <si>
    <t xml:space="preserve">Damodaran, Historical Implied ERP, inicio de 2026: 4,18 %</t>
  </si>
  <si>
    <t xml:space="preserve">Beta apalancada industria de alimentos procesados</t>
  </si>
  <si>
    <t xml:space="preserve">—</t>
  </si>
  <si>
    <t xml:space="preserve">Damodaran, Cost of Capital by industry (Food Processing), ene. 2026</t>
  </si>
  <si>
    <t xml:space="preserve">Prima de riesgo de mercado madura</t>
  </si>
  <si>
    <t xml:space="preserve">Damodaran, prima implícita ene. 2026: 4,23 %</t>
  </si>
  <si>
    <t xml:space="preserve">Prima de riesgo país Colombia</t>
  </si>
  <si>
    <t xml:space="preserve">Damodaran, ctryprem (Baa3), ene. 2026: 2,85 %</t>
  </si>
  <si>
    <t xml:space="preserve">Deuda / (Deuda + Patrimonio)</t>
  </si>
  <si>
    <t xml:space="preserve">Damodaran, Food Processing, ene. 2026: 30,43 %</t>
  </si>
  <si>
    <t xml:space="preserve">Diferencial de crédito corporativo sobre la tasa BanRep</t>
  </si>
  <si>
    <t xml:space="preserve">Supuesto: crédito comercial para empresa mediana</t>
  </si>
  <si>
    <t xml:space="preserve">Costo del patrimonio en USD (CAPM)</t>
  </si>
  <si>
    <t xml:space="preserve">Ke = Rf + β·(ERP + CRP)</t>
  </si>
  <si>
    <t xml:space="preserve">Costo del patrimonio en COP</t>
  </si>
  <si>
    <t xml:space="preserve">Ajuste por diferencial de inflación (paridad de Fisher)</t>
  </si>
  <si>
    <t xml:space="preserve">Costo de la deuda después de impuestos (COP)</t>
  </si>
  <si>
    <t xml:space="preserve">Kd = (tasa BanRep + diferencial)·(1 − t)</t>
  </si>
  <si>
    <t xml:space="preserve">WACC de Pomar (COP nominal)</t>
  </si>
  <si>
    <t xml:space="preserve">Promedio ponderado</t>
  </si>
  <si>
    <t xml:space="preserve">Prima de riesgo del proyecto (tecnológico, primera implementación)</t>
  </si>
  <si>
    <t xml:space="preserve">Supuesto conservador por riesgo de ejecución y de adopción</t>
  </si>
  <si>
    <t xml:space="preserve">Tasa de oportunidad (TIO) de Pomar para descontar el proyecto</t>
  </si>
  <si>
    <t xml:space="preserve">TIO = WACC + prima de proyecto</t>
  </si>
  <si>
    <t xml:space="preserve">Tasa de oportunidad de Kuajo Automation (empresa nueva)</t>
  </si>
  <si>
    <t xml:space="preserve">% efectivo anual</t>
  </si>
  <si>
    <t xml:space="preserve">Supuesto: costo del patrimonio de una empresa pequeña de servicios recién creada (Ke COP + prima por tamaño y etapa temprana)</t>
  </si>
  <si>
    <t xml:space="preserve">Nómina y cargas laborales (Colombia 2026)</t>
  </si>
  <si>
    <t xml:space="preserve">Salario mínimo mensual 2026</t>
  </si>
  <si>
    <t xml:space="preserve">COP/mes</t>
  </si>
  <si>
    <t xml:space="preserve">Decreto 1469 de 2025 (Holland &amp; Knight, dic. 2025)</t>
  </si>
  <si>
    <t xml:space="preserve">Auxilio de transporte 2026 (salarios ≤ 2 SMMLV)</t>
  </si>
  <si>
    <t xml:space="preserve">Decreto 1470 de 2025</t>
  </si>
  <si>
    <t xml:space="preserve">Aporte a pensión (empleador)</t>
  </si>
  <si>
    <t xml:space="preserve">Ley 100 de 1993; tabla de prestaciones 2026 (calcucolombia.co)</t>
  </si>
  <si>
    <t xml:space="preserve">ARL riesgo II (ingenieros que trabajan en planta)</t>
  </si>
  <si>
    <t xml:space="preserve">Decreto 1295 de 1994, tabla de cotización ARL</t>
  </si>
  <si>
    <t xml:space="preserve">ARL riesgo III (operarios de planta)</t>
  </si>
  <si>
    <t xml:space="preserve">Decreto 1295 de 1994</t>
  </si>
  <si>
    <t xml:space="preserve">Caja de compensación familiar</t>
  </si>
  <si>
    <t xml:space="preserve">Ley 21 de 1982</t>
  </si>
  <si>
    <t xml:space="preserve">Prima de servicios</t>
  </si>
  <si>
    <t xml:space="preserve">Código Sustantivo del Trabajo art. 306</t>
  </si>
  <si>
    <t xml:space="preserve">Cesantías</t>
  </si>
  <si>
    <t xml:space="preserve">CST art. 249</t>
  </si>
  <si>
    <t xml:space="preserve">Intereses sobre cesantías</t>
  </si>
  <si>
    <t xml:space="preserve">Ley 52 de 1975 (12 % anual sobre cesantías)</t>
  </si>
  <si>
    <t xml:space="preserve">Vacaciones</t>
  </si>
  <si>
    <t xml:space="preserve">CST art. 186 (15 días hábiles/año)</t>
  </si>
  <si>
    <t xml:space="preserve">Factor prestacional ingenieros (salud, SENA e ICBF exonerados por salario &lt; 10 SMMLV)</t>
  </si>
  <si>
    <t xml:space="preserve">veces el salario</t>
  </si>
  <si>
    <t xml:space="preserve">Art. 114-1 del Estatuto Tributario (Ley 1819 de 2016); coincide con el rango 1,45–1,55 de calcucolombia si se incluye salud</t>
  </si>
  <si>
    <t xml:space="preserve">Factor prestacional operarios</t>
  </si>
  <si>
    <t xml:space="preserve">Igual que ingenieros, con ARL riesgo III</t>
  </si>
  <si>
    <t xml:space="preserve">Horas facturables por ingeniero al mes</t>
  </si>
  <si>
    <t xml:space="preserve">h/mes</t>
  </si>
  <si>
    <t xml:space="preserve">Jornada de 42 h/semana (Ley 2101 de 2021, vigente desde jul. 2026) menos reuniones internas y formación</t>
  </si>
  <si>
    <t xml:space="preserve">Tarifa de ingeniería de Kuajo</t>
  </si>
  <si>
    <t xml:space="preserve">COP/h</t>
  </si>
  <si>
    <t xml:space="preserve">Supuesto: ≈ 3 veces el costo horario del equipo (ver Nomina_Kuajo); equivale a ≈ US$46/h, por debajo de tarifas de integradores en EE. UU.</t>
  </si>
  <si>
    <t xml:space="preserve">Meses de nómina cargados al proyecto</t>
  </si>
  <si>
    <t xml:space="preserve">meses</t>
  </si>
  <si>
    <t xml:space="preserve">Duración del proyecto (48 semanas ≈ 11 meses) más cierre; las horas facturables del cronograma (10.160 h) son 88 % de la capacidad de 11.520 h</t>
  </si>
  <si>
    <t xml:space="preserve">Estructura de precio de Kuajo</t>
  </si>
  <si>
    <t xml:space="preserve">Margen comercial sobre suministros (equipos, software, obras)</t>
  </si>
  <si>
    <t xml:space="preserve">Supuesto: rango habitual de integradores para equipos de terceros (8–15 %)</t>
  </si>
  <si>
    <t xml:space="preserve">Contingencia del proyecto</t>
  </si>
  <si>
    <t xml:space="preserve">% de costos directos</t>
  </si>
  <si>
    <t xml:space="preserve">Fijada para cubrir el valor esperado de los riesgos que retiene Kuajo (hoja Riesgos, cobertura ≥ 1). Es baja frente a la exactitud de un estimado clase 3 (AACE 18R-97: −20 % a +30 %) porque el riesgo cambiario se transfiere por cláusula y el 70 % de los precios se confirmará con cotizaciones formales</t>
  </si>
  <si>
    <t xml:space="preserve">Prima de la póliza de cumplimiento y calidad</t>
  </si>
  <si>
    <t xml:space="preserve">% del contrato</t>
  </si>
  <si>
    <t xml:space="preserve">Póliza con 3 amparos: cumplimiento (20 % del contrato, 15 meses), buen manejo del anticipo (100 % del anticipo, ≈ 11 meses) y calidad (20 %, 12 meses). Valor asegurado-año ≈ $5.900 M; a una tasa de referencia de ≈ 1,6 % anual da ≈ 1,2 % del contrato. Estimación: cotizar con Sura, Bolívar o Mapfre.</t>
  </si>
  <si>
    <t xml:space="preserve">ICA Bogotá — actividades de ingeniería (9,66 por mil)</t>
  </si>
  <si>
    <t xml:space="preserve">% de ingresos</t>
  </si>
  <si>
    <t xml:space="preserve">Acuerdo 65 de 2002 de Bogotá, tarifa servicios</t>
  </si>
  <si>
    <t xml:space="preserve">Gravamen a los movimientos financieros (4 por mil)</t>
  </si>
  <si>
    <t xml:space="preserve">% de pagos</t>
  </si>
  <si>
    <t xml:space="preserve">Estatuto Tributario art. 872</t>
  </si>
  <si>
    <t xml:space="preserve">IVA (informativo, no incluido en el flujo)</t>
  </si>
  <si>
    <t xml:space="preserve">Estatuto Tributario art. 468; para Pomar es descontable en bienes de capital (art. 258-1)</t>
  </si>
  <si>
    <t xml:space="preserve">Fracción de la contingencia que se espera consumir</t>
  </si>
  <si>
    <t xml:space="preserve">Supuesto: la mitad de los riesgos identificados se materializa</t>
  </si>
  <si>
    <t xml:space="preserve">Operación de la línea de yogures (situación actual: sección 6; con la propuesta: sección 7.4)</t>
  </si>
  <si>
    <t xml:space="preserve">Días de producción al año</t>
  </si>
  <si>
    <t xml:space="preserve">días</t>
  </si>
  <si>
    <t xml:space="preserve">6 días por semana × 52 semanas</t>
  </si>
  <si>
    <t xml:space="preserve">Producción actual de Y1 fresa</t>
  </si>
  <si>
    <t xml:space="preserve">kg/día</t>
  </si>
  <si>
    <t xml:space="preserve">Informe, sección 6.1: 176.000 vasos de 150 g; la llenadora de vasos limita la producción (OEE 55 %)</t>
  </si>
  <si>
    <t xml:space="preserve">Producción actual de Y2 griego</t>
  </si>
  <si>
    <t xml:space="preserve">Informe, sección 6.1: lanzado a baja escala en 2026 (11.800 vasos de 500 g); crece con el contrato de supermercados</t>
  </si>
  <si>
    <t xml:space="preserve">Producción actual de Y3 kéfir</t>
  </si>
  <si>
    <t xml:space="preserve">Informe, sección 6.1: ≈ 11.070 botellas de 1 L</t>
  </si>
  <si>
    <t xml:space="preserve">Producción actual de la línea de yogures</t>
  </si>
  <si>
    <t xml:space="preserve">Suma de las 3 recetas (situación actual)</t>
  </si>
  <si>
    <t xml:space="preserve">Producción con la propuesta de Y1 fresa</t>
  </si>
  <si>
    <t xml:space="preserve">Informe, sección 7.4: 200.000 vasos</t>
  </si>
  <si>
    <t xml:space="preserve">Producción con la propuesta de Y2 griego</t>
  </si>
  <si>
    <t xml:space="preserve">Informe, sección 7.4: 20.000 vasos (contrato con cadenas de supermercados)</t>
  </si>
  <si>
    <t xml:space="preserve">Producción con la propuesta de Y3 kéfir</t>
  </si>
  <si>
    <t xml:space="preserve">Informe, sección 7.4: 12.000 botellas</t>
  </si>
  <si>
    <t xml:space="preserve">Producción con la propuesta</t>
  </si>
  <si>
    <t xml:space="preserve">Suma de las 3 recetas (+20 % frente a la situación actual)</t>
  </si>
  <si>
    <t xml:space="preserve">Fracción del volumen adicional atribuible a la automatización</t>
  </si>
  <si>
    <t xml:space="preserve">Supuesto conservador: parte del aumento podría lograrse con un tercer turno o mejoras de gestión sin esta inversión</t>
  </si>
  <si>
    <t xml:space="preserve">Captura de beneficios en el año 1 (curva de aprendizaje)</t>
  </si>
  <si>
    <t xml:space="preserve">Supuesto: estabilización de 6 meses después de la puesta en marcha</t>
  </si>
  <si>
    <t xml:space="preserve">Precio de la leche cruda pagada al productor (Cundinamarca)</t>
  </si>
  <si>
    <t xml:space="preserve">COP/L</t>
  </si>
  <si>
    <t xml:space="preserve">Agronegocios, mayo 2026 (dato de marzo 2026, región Boyacá–Cundinamarca)</t>
  </si>
  <si>
    <t xml:space="preserve">Costo de acopio y transporte de leche</t>
  </si>
  <si>
    <t xml:space="preserve">% sobre el precio</t>
  </si>
  <si>
    <t xml:space="preserve">Supuesto</t>
  </si>
  <si>
    <t xml:space="preserve">Rechazo actual (peso o sellado)</t>
  </si>
  <si>
    <t xml:space="preserve">Informe, problema P4</t>
  </si>
  <si>
    <t xml:space="preserve">Rechazo con la propuesta</t>
  </si>
  <si>
    <t xml:space="preserve">Informe, sección 7.9</t>
  </si>
  <si>
    <t xml:space="preserve">Fracción de la reducción de rechazos que se captura</t>
  </si>
  <si>
    <t xml:space="preserve">Supuesto conservador</t>
  </si>
  <si>
    <t xml:space="preserve">Operarios de paletizado manual que se liberan</t>
  </si>
  <si>
    <t xml:space="preserve">personas</t>
  </si>
  <si>
    <t xml:space="preserve">Hoy 4 por turno × 2 turnos; queda 1 por turno supervisando la celda</t>
  </si>
  <si>
    <t xml:space="preserve">Salario de operario de planta</t>
  </si>
  <si>
    <t xml:space="preserve">1,1 SMMLV (referencia de mercado para operario de alimentos)</t>
  </si>
  <si>
    <t xml:space="preserve">Costo de energía, vapor y agua de la línea</t>
  </si>
  <si>
    <t xml:space="preserve">COP/kg</t>
  </si>
  <si>
    <t xml:space="preserve">Estimación de la industria láctea (≈ 0,2–0,3 kWh-equivalente por kg)</t>
  </si>
  <si>
    <t xml:space="preserve">Ahorro por submedición y control de consumos</t>
  </si>
  <si>
    <t xml:space="preserve">Supuesto conservador (programas de submedición suelen dar 3–10 %)</t>
  </si>
  <si>
    <t xml:space="preserve">Probabilidad anual de un retiro de producto</t>
  </si>
  <si>
    <t xml:space="preserve">Costo evitado por acotar el retiro (2 h de producción en vez de un día)</t>
  </si>
  <si>
    <t xml:space="preserve">COP por evento</t>
  </si>
  <si>
    <t xml:space="preserve">Estimación: producto, logística inversa y destrucción de un día de producción</t>
  </si>
  <si>
    <t xml:space="preserve">Capital de trabajo sobre ventas incrementales</t>
  </si>
  <si>
    <t xml:space="preserve">Supuesto: inventario + cartera netos de proveedores</t>
  </si>
  <si>
    <t xml:space="preserve">Días de parada de la línea para el montaje</t>
  </si>
  <si>
    <t xml:space="preserve">Informe: parada máxima de 2 semanas (6 días/semana)</t>
  </si>
  <si>
    <t xml:space="preserve">Fracción de producción perdida durante la parada</t>
  </si>
  <si>
    <t xml:space="preserve">Supuesto: la mitad se compensa con inventario fabricado antes de la parada</t>
  </si>
  <si>
    <t xml:space="preserve">Costo interno de Pomar (líder de proyecto, TI, calidad)</t>
  </si>
  <si>
    <t xml:space="preserve">COP</t>
  </si>
  <si>
    <t xml:space="preserve">Estimación: 1 líder a medio tiempo + apoyo de TI y calidad durante 12 meses</t>
  </si>
  <si>
    <t xml:space="preserve">Horizonte de evaluación</t>
  </si>
  <si>
    <t xml:space="preserve">años</t>
  </si>
  <si>
    <t xml:space="preserve">Vida útil económica conservadora; sin valor residual</t>
  </si>
  <si>
    <t xml:space="preserve">Vida útil fiscal de maquinaria y equipo</t>
  </si>
  <si>
    <t xml:space="preserve">Estatuto Tributario art. 137 (modificado por la Ley 1819 de 2016): tasa máxima anual de 10 % para maquinaria y equipo</t>
  </si>
  <si>
    <t xml:space="preserve">Vida útil fiscal de equipo de cómputo y software</t>
  </si>
  <si>
    <t xml:space="preserve">Estatuto Tributario art. 137: tasa máxima anual de 20 % para equipo de cómputo y software</t>
  </si>
  <si>
    <t xml:space="preserve">Kuajo: plazo de cobro de cada hito (meses)</t>
  </si>
  <si>
    <t xml:space="preserve">Oferta, punto 5: pago contra hito aprobado y factura a 30 días (también el anticipo, contra la póliza de buen manejo)</t>
  </si>
  <si>
    <t xml:space="preserve">Kuajo: retención en la fuente promedio sobre los cobros</t>
  </si>
  <si>
    <t xml:space="preserve">Estimación: 2,5 % en compras de bienes y 4–11 % en servicios de ingeniería; es un anticipo del impuesto de renta que se descuenta al liquidarlo</t>
  </si>
  <si>
    <t xml:space="preserve">Kuajo: tasa del crédito rotativo de capital de trabajo (EA)</t>
  </si>
  <si>
    <t xml:space="preserve">% EA</t>
  </si>
  <si>
    <t xml:space="preserve">Tasa de política del BanRep + diferencial de crédito comercial (igual que en el costo de la deuda de Pomar)</t>
  </si>
  <si>
    <t xml:space="preserve">Kuajo: cupo del crédito rotativo</t>
  </si>
  <si>
    <t xml:space="preserve">Cupo aprobado antes de la firma; respaldado por el contrato y la póliza (se usa solo en los meses con saldo negativo)</t>
  </si>
  <si>
    <t xml:space="preserve">Horas extra del equipo en semanas pico (h)</t>
  </si>
  <si>
    <t xml:space="preserve">h</t>
  </si>
  <si>
    <t xml:space="preserve">Hoja Cronograma, histograma de recursos: horas por encima de 42 h/semana por persona (≈ 3 % de las horas)</t>
  </si>
  <si>
    <t xml:space="preserve">Nómina y costos de Kuajo Automation durante el proyecto</t>
  </si>
  <si>
    <t xml:space="preserve">Salarios mensuales en COP 2026. Referencias de mercado: Indeed Colombia (sept. 2026).</t>
  </si>
  <si>
    <t xml:space="preserve">Rol</t>
  </si>
  <si>
    <t xml:space="preserve">Integrante</t>
  </si>
  <si>
    <t xml:space="preserve">Salario mensual</t>
  </si>
  <si>
    <t xml:space="preserve">Factor prestacional</t>
  </si>
  <si>
    <t xml:space="preserve">Costo mensual empresa</t>
  </si>
  <si>
    <t xml:space="preserve">Meses en el proyecto</t>
  </si>
  <si>
    <t xml:space="preserve">Costo total</t>
  </si>
  <si>
    <t xml:space="preserve">Referencia de mercado</t>
  </si>
  <si>
    <t xml:space="preserve">R1 Gerente de proyecto</t>
  </si>
  <si>
    <t xml:space="preserve">Duvan Felipe Pacheco Rodriguez</t>
  </si>
  <si>
    <t xml:space="preserve">Indeed: gerente de proyectos, promedio $6.653.365/mes; rango $3,7–11,9 M (11 sept. 2026). Se paga por encima del promedio por ser responsable del contrato y del P&amp;G.</t>
  </si>
  <si>
    <t xml:space="preserve">R2 Arquitecta TDI (OT/IT)</t>
  </si>
  <si>
    <t xml:space="preserve">Paula Valentina Alvarez Chaparro</t>
  </si>
  <si>
    <t xml:space="preserve">Indeed: ingeniero de automatización, máximo $5.590.333/mes; se ubica sobre el máximo por especialidad en MES/ERP e ISA-95.</t>
  </si>
  <si>
    <t xml:space="preserve">R3 Ingeniero de procesos</t>
  </si>
  <si>
    <t xml:space="preserve">David Felipe Garcia Lopez</t>
  </si>
  <si>
    <t xml:space="preserve">Indeed: ingeniero de automatización, promedio $3.267.929 y máximo $5.590.333/mes (17 sept. 2026).</t>
  </si>
  <si>
    <t xml:space="preserve">R4 Ingeniero de producción</t>
  </si>
  <si>
    <t xml:space="preserve">Juan Angel Vargas Rodriguez</t>
  </si>
  <si>
    <t xml:space="preserve">Ídem; incluye simulación con Tecnomatix.</t>
  </si>
  <si>
    <t xml:space="preserve">R5 Ingeniero de control y robótica</t>
  </si>
  <si>
    <t xml:space="preserve">Jose Luis Pulido Fonseca</t>
  </si>
  <si>
    <t xml:space="preserve">Ídem, con prima por robótica y seguridad de máquinas.</t>
  </si>
  <si>
    <t xml:space="preserve">R6 Ingeniero de supervisión y comunicaciones</t>
  </si>
  <si>
    <t xml:space="preserve">Ian Saonni Rodriguez Pulido</t>
  </si>
  <si>
    <t xml:space="preserve">Ídem; SCADA Ignition, gemelo digital y redes.</t>
  </si>
  <si>
    <t xml:space="preserve">Total equipo</t>
  </si>
  <si>
    <t xml:space="preserve">Costo horario del equipo (COP/h)</t>
  </si>
  <si>
    <t xml:space="preserve">Tarifa facturada / costo horario</t>
  </si>
  <si>
    <t xml:space="preserve">Gastos generales de Kuajo</t>
  </si>
  <si>
    <t xml:space="preserve">Concepto</t>
  </si>
  <si>
    <t xml:space="preserve">Tipo</t>
  </si>
  <si>
    <t xml:space="preserve">Valor unitario</t>
  </si>
  <si>
    <t xml:space="preserve">Cantidad</t>
  </si>
  <si>
    <t xml:space="preserve">Total</t>
  </si>
  <si>
    <t xml:space="preserve">Moneda</t>
  </si>
  <si>
    <t xml:space="preserve">Total COP</t>
  </si>
  <si>
    <t xml:space="preserve">Justificación</t>
  </si>
  <si>
    <t xml:space="preserve">Oficina compartida (coworking, 6 puestos)</t>
  </si>
  <si>
    <t xml:space="preserve">Mensual</t>
  </si>
  <si>
    <t xml:space="preserve">Estimación de coworking en Bogotá</t>
  </si>
  <si>
    <t xml:space="preserve">Contador y revisoría externa</t>
  </si>
  <si>
    <t xml:space="preserve">Estimación de honorarios</t>
  </si>
  <si>
    <t xml:space="preserve">Transporte y viáticos a Cajicá</t>
  </si>
  <si>
    <t xml:space="preserve">≈ 3 visitas semanales; 1 vehículo compartido</t>
  </si>
  <si>
    <t xml:space="preserve">Telecomunicaciones, nube y GitHub</t>
  </si>
  <si>
    <t xml:space="preserve">Estimación</t>
  </si>
  <si>
    <t xml:space="preserve">Seguros, dotación, EPP y varios</t>
  </si>
  <si>
    <t xml:space="preserve">Computadores portátiles de ingeniería</t>
  </si>
  <si>
    <t xml:space="preserve">Único</t>
  </si>
  <si>
    <t xml:space="preserve">Equipo con capacidad para RobotStudio y Tecnomatix</t>
  </si>
  <si>
    <t xml:space="preserve">Studio 5000 Logix Designer + Logix Emulate (licencia de desarrollo)</t>
  </si>
  <si>
    <t xml:space="preserve">USD</t>
  </si>
  <si>
    <t xml:space="preserve">Estimación; cotizar con distribuidor Rockwell</t>
  </si>
  <si>
    <t xml:space="preserve">RobotStudio Premium (suscripción anual)</t>
  </si>
  <si>
    <t xml:space="preserve">Estimación; cotizar con ABB</t>
  </si>
  <si>
    <t xml:space="preserve">Tecnomatix Plant Simulation (suscripción anual)</t>
  </si>
  <si>
    <t xml:space="preserve">Estimación; cotizar con Siemens</t>
  </si>
  <si>
    <t xml:space="preserve">Constitución de la S.A.S. y registro mercantil</t>
  </si>
  <si>
    <t xml:space="preserve">Total gastos generales</t>
  </si>
  <si>
    <t xml:space="preserve">de los cuales mensuales (COP/mes)</t>
  </si>
  <si>
    <t xml:space="preserve">de los cuales únicos (mes 0)</t>
  </si>
  <si>
    <t xml:space="preserve">Situación actual = supuestos del caso calibrados con el problema (OEE 55 %, cambio 90 min, rechazo 3 %); se validan en la visita industrial. Futuro = con la propuesta (informe, sección 7).</t>
  </si>
  <si>
    <t xml:space="preserve">Situación actual</t>
  </si>
  <si>
    <t xml:space="preserve">Con la propuesta</t>
  </si>
  <si>
    <t xml:space="preserve">Cálculo, fuente o justificación</t>
  </si>
  <si>
    <t xml:space="preserve">1. Demanda y tiempo disponible</t>
  </si>
  <si>
    <t xml:space="preserve">Demanda de los clientes (kg/día)</t>
  </si>
  <si>
    <t xml:space="preserve">Contrato con cadenas + lanzamiento del griego: la demanda ya es de 52.400 kg/día</t>
  </si>
  <si>
    <t xml:space="preserve">Producción de la línea (kg/día)</t>
  </si>
  <si>
    <t xml:space="preserve">Supuestos (suma de las 3 recetas)</t>
  </si>
  <si>
    <t xml:space="preserve">Cumplimiento de la demanda</t>
  </si>
  <si>
    <t xml:space="preserve">Producción / demanda: hoy se dejan de atender ≈ 8.700 kg/día</t>
  </si>
  <si>
    <t xml:space="preserve">Turnos por día</t>
  </si>
  <si>
    <t xml:space="preserve">Informe, sección 3: 2 turnos de 8 h, 6 días a la semana</t>
  </si>
  <si>
    <t xml:space="preserve">Pausas y relevo por turno (min)</t>
  </si>
  <si>
    <t xml:space="preserve">Almuerzo, relevo y alistamiento de turno</t>
  </si>
  <si>
    <t xml:space="preserve">Tiempo disponible por día (min)</t>
  </si>
  <si>
    <t xml:space="preserve">2 × (480 − 60) = 840 min (igual que en la sección 7.4)</t>
  </si>
  <si>
    <t xml:space="preserve">Takt time de la línea (s por kg)</t>
  </si>
  <si>
    <t xml:space="preserve">Tiempo disponible / demanda: el ritmo al que habría que producir para cumplir</t>
  </si>
  <si>
    <t xml:space="preserve">Ritmo real de producción (s por kg)</t>
  </si>
  <si>
    <t xml:space="preserve">Hoy la línea va 20 % más lenta que el takt</t>
  </si>
  <si>
    <t xml:space="preserve">Throughput de la línea (kg/h)</t>
  </si>
  <si>
    <t xml:space="preserve">Producción / horas disponibles (14 h)</t>
  </si>
  <si>
    <t xml:space="preserve">Producción por turno (kg/turno)</t>
  </si>
  <si>
    <t xml:space="preserve">Producción / 2 turnos</t>
  </si>
  <si>
    <t xml:space="preserve">2. Producción por receta (kg/día y unidades)</t>
  </si>
  <si>
    <t xml:space="preserve">Y1 fresa (vaso 150 g): kg/día</t>
  </si>
  <si>
    <t xml:space="preserve">Y1 fresa (vaso 150 g): unidades/día</t>
  </si>
  <si>
    <t xml:space="preserve">kg/día / 0,15 kg por unidad</t>
  </si>
  <si>
    <t xml:space="preserve">Y1 fresa (vaso 150 g): lotes/día</t>
  </si>
  <si>
    <t xml:space="preserve">kg/día / 11.364 kg por lote (sección 7.4)</t>
  </si>
  <si>
    <t xml:space="preserve">Y1 fresa (vaso 150 g): cajas/día</t>
  </si>
  <si>
    <t xml:space="preserve">24 unidades por caja</t>
  </si>
  <si>
    <t xml:space="preserve">Y1 fresa (vaso 150 g): pallets/día</t>
  </si>
  <si>
    <t xml:space="preserve">112 cajas por pallet (patrón P1, sección 7.5)</t>
  </si>
  <si>
    <t xml:space="preserve">Y2 griego (vaso 500 g): kg/día</t>
  </si>
  <si>
    <t xml:space="preserve">Y2 griego (vaso 500 g): unidades/día</t>
  </si>
  <si>
    <t xml:space="preserve">kg/día / 0,5 kg por unidad</t>
  </si>
  <si>
    <t xml:space="preserve">Y2 griego (vaso 500 g): lotes/día</t>
  </si>
  <si>
    <t xml:space="preserve">kg/día / 3.054 kg por lote (sección 7.4)</t>
  </si>
  <si>
    <t xml:space="preserve">Y2 griego (vaso 500 g): cajas/día</t>
  </si>
  <si>
    <t xml:space="preserve">12 unidades por caja</t>
  </si>
  <si>
    <t xml:space="preserve">Y2 griego (vaso 500 g): pallets/día</t>
  </si>
  <si>
    <t xml:space="preserve">77 cajas por pallet (patrón P2: 7 × 11, sección 7.5)</t>
  </si>
  <si>
    <t xml:space="preserve">Y3 kéfir (botella 1 L): kg/día</t>
  </si>
  <si>
    <t xml:space="preserve">Y3 kéfir (botella 1 L): unidades/día</t>
  </si>
  <si>
    <t xml:space="preserve">kg/día / 1,03 kg por unidad</t>
  </si>
  <si>
    <t xml:space="preserve">Y3 kéfir (botella 1 L): lotes/día</t>
  </si>
  <si>
    <t xml:space="preserve">kg/día / 9.800 kg por lote (sección 7.4)</t>
  </si>
  <si>
    <t xml:space="preserve">Y3 kéfir (botella 1 L): cajas/día</t>
  </si>
  <si>
    <t xml:space="preserve">Y3 kéfir (botella 1 L): pallets/día</t>
  </si>
  <si>
    <t xml:space="preserve">45 cajas por pallet (patrón P3, sección 7.5)</t>
  </si>
  <si>
    <t xml:space="preserve">Leche requerida (kg/día)</t>
  </si>
  <si>
    <t xml:space="preserve">kg de leche por kg de producto (hoja Beneficios_OPEX, fila 8: 0,757 / 3,274 / 1,02; sección 7.1); límite 70.000 L/día ≈ 72.100 kg</t>
  </si>
  <si>
    <t xml:space="preserve">3. Llenadora de vasos U-232 (Y1 y Y2): OEE y carga</t>
  </si>
  <si>
    <t xml:space="preserve">Velocidad nominal formato 150 g (vasos/h)</t>
  </si>
  <si>
    <t xml:space="preserve">Sección 7.4: 16 vasos por ciclo × 30 ciclos/min</t>
  </si>
  <si>
    <t xml:space="preserve">Velocidad nominal formato 500 g (vasos/h)</t>
  </si>
  <si>
    <t xml:space="preserve">Sección 7.4: 6 vasos por ciclo × 20 ciclos/min</t>
  </si>
  <si>
    <t xml:space="preserve">Tiempo de llenado a velocidad nominal de las unidades buenas (h/día)</t>
  </si>
  <si>
    <t xml:space="preserve">Unidades buenas / velocidad nominal</t>
  </si>
  <si>
    <t xml:space="preserve">Cambios de formato o receta por día</t>
  </si>
  <si>
    <t xml:space="preserve">Secuencia diaria Y1 → Y2 → Y1 (sección 7.10)</t>
  </si>
  <si>
    <t xml:space="preserve">Duración de cada cambio (min)</t>
  </si>
  <si>
    <t xml:space="preserve">Hoy: CIP y ajustes manuales (problema P2). Con la propuesta: receta ISA-88 y CIP automático (sección 7.10)</t>
  </si>
  <si>
    <t xml:space="preserve">Fallas de la llenadora por día</t>
  </si>
  <si>
    <t xml:space="preserve">Hoy: atascos de vasos, falla de sellado y ajustes de peso. Con la propuesta: mantenimiento preventivo y predictivo con datos del historian (sección 6.8)</t>
  </si>
  <si>
    <t xml:space="preserve">Tiempo medio de reparación de la llenadora, MTTR (min)</t>
  </si>
  <si>
    <t xml:space="preserve">Con la propuesta: diagnóstico por alarmas en la HMI y repuestos críticos en sitio</t>
  </si>
  <si>
    <t xml:space="preserve">Esperas y microparadas por día (min)</t>
  </si>
  <si>
    <t xml:space="preserve">Hoy: espera de producto por fermentaciones fuera de tiempo. Con la propuesta: secuenciación por el MES</t>
  </si>
  <si>
    <t xml:space="preserve">Paradas no planeadas por día (min)</t>
  </si>
  <si>
    <t xml:space="preserve">Fallas × MTTR + esperas y microparadas</t>
  </si>
  <si>
    <t xml:space="preserve">Disponibilidad</t>
  </si>
  <si>
    <t xml:space="preserve">(Tiempo disponible − cambios − paradas) / tiempo disponible</t>
  </si>
  <si>
    <t xml:space="preserve">Tiempo medio entre fallas de la llenadora, MTBF (h)</t>
  </si>
  <si>
    <t xml:space="preserve">Tiempo de operación / número de fallas</t>
  </si>
  <si>
    <t xml:space="preserve">Rendimiento (velocidad real / nominal)</t>
  </si>
  <si>
    <t xml:space="preserve">Hoy se trabaja más lento para controlar el peso a mano y hay microparadas; con la propuesta, control de peso en lazo cerrado con la pesadora</t>
  </si>
  <si>
    <t xml:space="preserve">Calidad (unidades buenas / llenadas)</t>
  </si>
  <si>
    <t xml:space="preserve">Rechazo por peso o sellado: 3 % → 1 % (Supuestos)</t>
  </si>
  <si>
    <t xml:space="preserve">OEE de la llenadora de vasos</t>
  </si>
  <si>
    <t xml:space="preserve">Disponibilidad × rendimiento × calidad: 55 % → 78 % (informe, sección 1)</t>
  </si>
  <si>
    <t xml:space="preserve">Tiempo que necesita la llenadora (h/día)</t>
  </si>
  <si>
    <t xml:space="preserve">Tiempo de llenado nominal / OEE</t>
  </si>
  <si>
    <t xml:space="preserve">Ocupación de la llenadora de vasos</t>
  </si>
  <si>
    <t xml:space="preserve">Hoy está al 100 %: es el cuello de botella. Con la propuesta queda al 89 % aunque produce 20 % más</t>
  </si>
  <si>
    <t xml:space="preserve">4. Llenadora de botellas U-233 (Y3)</t>
  </si>
  <si>
    <t xml:space="preserve">Velocidad nominal (botellas/h)</t>
  </si>
  <si>
    <t xml:space="preserve">Sección 7.4</t>
  </si>
  <si>
    <t xml:space="preserve">OEE de la llenadora de botellas</t>
  </si>
  <si>
    <t xml:space="preserve">Hoy con las mismas prácticas manuales; meta de la sección 7.9: ≥ 80 %</t>
  </si>
  <si>
    <t xml:space="preserve">Ocupación de la llenadora de botellas</t>
  </si>
  <si>
    <t xml:space="preserve">Tiene holgura en las dos situaciones</t>
  </si>
  <si>
    <t xml:space="preserve">5. Fermentadores U-221 a U-224</t>
  </si>
  <si>
    <t xml:space="preserve">Ocupación por lote de Y1 (h)</t>
  </si>
  <si>
    <t xml:space="preserve">Ocupación por lote de Y2 (h)</t>
  </si>
  <si>
    <t xml:space="preserve">Ocupación por lote de Y3 (h)</t>
  </si>
  <si>
    <t xml:space="preserve">Sección 7.3: llenado + incubación + ruptura + vaciado + CIP</t>
  </si>
  <si>
    <t xml:space="preserve">Tiempo adicional por lote en la operación manual (h)</t>
  </si>
  <si>
    <t xml:space="preserve">Hoy: 0,75 h de sobretiempo porque el pH final se detecta con muestreo manual cada 30–60 min, y 0,5 h más de CIP manual</t>
  </si>
  <si>
    <t xml:space="preserve">Horas-tanque requeridas por día</t>
  </si>
  <si>
    <t xml:space="preserve">Σ lotes/día × ocupación por lote</t>
  </si>
  <si>
    <t xml:space="preserve">Horas-tanque disponibles por día</t>
  </si>
  <si>
    <t xml:space="preserve">4 fermentadores × 24 h (la fermentación sigue fuera de turno)</t>
  </si>
  <si>
    <t xml:space="preserve">Ocupación de los fermentadores</t>
  </si>
  <si>
    <t xml:space="preserve">Hoy hay holgura; con la propuesta la fermentación pasa a ser el cuello de botella (≈ 90 %)</t>
  </si>
  <si>
    <t xml:space="preserve">6. Encajonado y paletizado</t>
  </si>
  <si>
    <t xml:space="preserve">Cajas por día</t>
  </si>
  <si>
    <t xml:space="preserve">Suma de las 3 recetas</t>
  </si>
  <si>
    <t xml:space="preserve">Pallets por día</t>
  </si>
  <si>
    <t xml:space="preserve">Operarios de fin de línea por turno</t>
  </si>
  <si>
    <t xml:space="preserve">Hoy: 2 encajonan y 2 paletizan a mano (cajas de 12–18 kg, problema P6). Con la propuesta: 1 supervisor de la celda robotizada</t>
  </si>
  <si>
    <t xml:space="preserve">Cajas por operario-hora</t>
  </si>
  <si>
    <t xml:space="preserve">Productividad de la mano de obra de fin de línea</t>
  </si>
  <si>
    <t xml:space="preserve">7. Tiempo de manufactura (MLT) de un lote de Y1, de la leche en silo al despacho, en horas</t>
  </si>
  <si>
    <t xml:space="preserve">Etapa</t>
  </si>
  <si>
    <t xml:space="preserve">Actual (h)</t>
  </si>
  <si>
    <t xml:space="preserve">Con la propuesta (h)</t>
  </si>
  <si>
    <t xml:space="preserve">¿Agrega valor? / justificación</t>
  </si>
  <si>
    <t xml:space="preserve">Espera de la leche cruda en silo</t>
  </si>
  <si>
    <t xml:space="preserve">No (espera necesaria): la leche se procesa dentro de las 24 h siguientes al acopio</t>
  </si>
  <si>
    <t xml:space="preserve">Preparación en U-211</t>
  </si>
  <si>
    <t xml:space="preserve">Sí: transferencia, polvos e hidratación (sección 7.3)</t>
  </si>
  <si>
    <t xml:space="preserve">Tratamiento térmico en U-212</t>
  </si>
  <si>
    <t xml:space="preserve">Sí: homogeneización y pasteurización</t>
  </si>
  <si>
    <t xml:space="preserve">Fermentación</t>
  </si>
  <si>
    <t xml:space="preserve">Sí: incubación hasta pH 4,60</t>
  </si>
  <si>
    <t xml:space="preserve">Sobretiempo de fermentación por control manual del pH</t>
  </si>
  <si>
    <t xml:space="preserve">No: desaparece con pH en línea y fin de fase automático</t>
  </si>
  <si>
    <t xml:space="preserve">Ruptura del coágulo y enfriamiento</t>
  </si>
  <si>
    <t xml:space="preserve">Sí</t>
  </si>
  <si>
    <t xml:space="preserve">Espera en el tanque pulmón U-226</t>
  </si>
  <si>
    <t xml:space="preserve">No: hoy el producto espera a la llenadora (cuello de botella); con el MES se sincroniza</t>
  </si>
  <si>
    <t xml:space="preserve">Llenado del lote (74.200 vasos)</t>
  </si>
  <si>
    <t xml:space="preserve">Sí: a la velocidad real (rendimiento)</t>
  </si>
  <si>
    <t xml:space="preserve">Encajonado y paletizado</t>
  </si>
  <si>
    <t xml:space="preserve">Liberación de calidad en cámara (2–6 °C)</t>
  </si>
  <si>
    <t xml:space="preserve">No (necesaria): enfriamiento final y liberación microbiológica</t>
  </si>
  <si>
    <t xml:space="preserve">Inventario de producto terminado esperando despacho</t>
  </si>
  <si>
    <t xml:space="preserve">No: hoy el plan es semanal en Excel; con el MES y SAP el plan es diario</t>
  </si>
  <si>
    <t xml:space="preserve">MLT total (h)</t>
  </si>
  <si>
    <t xml:space="preserve">Suma de las etapas</t>
  </si>
  <si>
    <t xml:space="preserve">MLT total (días)</t>
  </si>
  <si>
    <t xml:space="preserve">Tiempo que agrega valor (h)</t>
  </si>
  <si>
    <t xml:space="preserve">Suma de las etapas marcadas "Sí"</t>
  </si>
  <si>
    <t xml:space="preserve">Relación de valor agregado</t>
  </si>
  <si>
    <t xml:space="preserve">Tiempo que agrega valor / MLT</t>
  </si>
  <si>
    <t xml:space="preserve">7b. MLT de un lote de Y2 griego, en horas</t>
  </si>
  <si>
    <t xml:space="preserve">Espera de la leche en silo</t>
  </si>
  <si>
    <t xml:space="preserve">No (espera necesaria)</t>
  </si>
  <si>
    <t xml:space="preserve">Transferencia y precalentamiento en U-211</t>
  </si>
  <si>
    <t xml:space="preserve">Sí: sin polvos (sección 7.3)</t>
  </si>
  <si>
    <t xml:space="preserve">Tratamiento térmico a 8.300 L/h (92 °C × 6 min)</t>
  </si>
  <si>
    <t xml:space="preserve">Fermentación hasta pH 4,50</t>
  </si>
  <si>
    <t xml:space="preserve">Sobretiempo por control manual del pH</t>
  </si>
  <si>
    <t xml:space="preserve">No: desaparece con pH en línea</t>
  </si>
  <si>
    <t xml:space="preserve">Concentración en el separador U-228 y enfriamiento</t>
  </si>
  <si>
    <t xml:space="preserve">Sí: el suero ácido sale a su tanque</t>
  </si>
  <si>
    <t xml:space="preserve">No: hoy espera a la llenadora. Con la propuesta, el griego se separa de noche y espera en promedio ≈ 3 h a ≤ 10 °C hasta el llenado de la mañana (máx. 12 h)</t>
  </si>
  <si>
    <t xml:space="preserve">Llenado del lote (5.990 vasos de 500 g)</t>
  </si>
  <si>
    <t xml:space="preserve">Liberación de calidad en cámara</t>
  </si>
  <si>
    <t xml:space="preserve">No (necesaria)</t>
  </si>
  <si>
    <t xml:space="preserve">Inventario de producto terminado</t>
  </si>
  <si>
    <t xml:space="preserve">No: plan semanal hoy, diario con la propuesta</t>
  </si>
  <si>
    <t xml:space="preserve">MLT total Y2 (h)</t>
  </si>
  <si>
    <t xml:space="preserve">Tiempo que agrega valor Y2 (h)</t>
  </si>
  <si>
    <t xml:space="preserve">Etapas marcadas "Sí"</t>
  </si>
  <si>
    <t xml:space="preserve">Relación de valor agregado Y2</t>
  </si>
  <si>
    <t xml:space="preserve">7c. MLT de un lote de Y3 kéfir, en horas</t>
  </si>
  <si>
    <t xml:space="preserve">Tratamiento térmico y enfriamiento a 24 °C</t>
  </si>
  <si>
    <t xml:space="preserve">Fermentación mesófila hasta pH 4,50</t>
  </si>
  <si>
    <t xml:space="preserve">Ruptura del coágulo y enfriamiento a 9 °C</t>
  </si>
  <si>
    <t xml:space="preserve">Maduración en U-227 (actividad de levaduras)</t>
  </si>
  <si>
    <t xml:space="preserve">Sí: forma el sabor y el gas del kéfir</t>
  </si>
  <si>
    <t xml:space="preserve">Espera a la llenadora de botellas</t>
  </si>
  <si>
    <t xml:space="preserve">No: hoy se coordina a mano</t>
  </si>
  <si>
    <t xml:space="preserve">Llenado del lote (9.500 botellas)</t>
  </si>
  <si>
    <t xml:space="preserve">Liberación de calidad en cámara (48 h por levaduras)</t>
  </si>
  <si>
    <t xml:space="preserve">MLT total Y3 (h)</t>
  </si>
  <si>
    <t xml:space="preserve">Tiempo que agrega valor Y3 (h)</t>
  </si>
  <si>
    <t xml:space="preserve">Relación de valor agregado Y3</t>
  </si>
  <si>
    <t xml:space="preserve">8. KPIs base (situación actual) y metas</t>
  </si>
  <si>
    <t xml:space="preserve">KPI</t>
  </si>
  <si>
    <t xml:space="preserve">Línea base (hoy)</t>
  </si>
  <si>
    <t xml:space="preserve">Meta con la propuesta</t>
  </si>
  <si>
    <t xml:space="preserve">Cómo se mide hoy / fuente</t>
  </si>
  <si>
    <t xml:space="preserve">Producción (kg/día)</t>
  </si>
  <si>
    <t xml:space="preserve">Registro de producción en papel, consolidado semanalmente</t>
  </si>
  <si>
    <t xml:space="preserve">Throughput (kg/h)</t>
  </si>
  <si>
    <t xml:space="preserve">Producción / 14 h disponibles</t>
  </si>
  <si>
    <t xml:space="preserve">Ritmo de producción frente al takt time (s/kg; takt = 0,96)</t>
  </si>
  <si>
    <t xml:space="preserve">Hoy la línea va 20 % más lenta que la demanda</t>
  </si>
  <si>
    <t xml:space="preserve">Producción / pedidos</t>
  </si>
  <si>
    <t xml:space="preserve">Disponibilidad de la llenadora de vasos</t>
  </si>
  <si>
    <t xml:space="preserve">Tiempo operando / tiempo disponible</t>
  </si>
  <si>
    <t xml:space="preserve">Rendimiento de la llenadora de vasos</t>
  </si>
  <si>
    <t xml:space="preserve">Velocidad real / nominal</t>
  </si>
  <si>
    <t xml:space="preserve">1 − rechazo</t>
  </si>
  <si>
    <t xml:space="preserve">Hoy se calcula a mano cada semana en Excel (problema P5)</t>
  </si>
  <si>
    <t xml:space="preserve">Utilización de la llenadora de vasos</t>
  </si>
  <si>
    <t xml:space="preserve">Tiempo necesario / tiempo disponible</t>
  </si>
  <si>
    <t xml:space="preserve">Utilización de los fermentadores</t>
  </si>
  <si>
    <t xml:space="preserve">Horas-tanque / 96 h</t>
  </si>
  <si>
    <t xml:space="preserve">MLT de un lote de Y1 (días)</t>
  </si>
  <si>
    <t xml:space="preserve">Sección 7 de la hoja VSM_Actual</t>
  </si>
  <si>
    <t xml:space="preserve">MTBF de la llenadora de vasos (h)</t>
  </si>
  <si>
    <t xml:space="preserve">Sección 10 de la hoja VSM_Actual</t>
  </si>
  <si>
    <t xml:space="preserve">MTTR de la llenadora de vasos (min)</t>
  </si>
  <si>
    <t xml:space="preserve">Tiempo de cambio de receta (min)</t>
  </si>
  <si>
    <t xml:space="preserve">Último producto bueno → primero bueno (sección 7.9)</t>
  </si>
  <si>
    <t xml:space="preserve">Rechazo en inspección</t>
  </si>
  <si>
    <t xml:space="preserve">Problema P4; hoy sin inspección automática</t>
  </si>
  <si>
    <t xml:space="preserve">Sobrellenado promedio de Y1</t>
  </si>
  <si>
    <t xml:space="preserve">Hoy se sobrellena para no quedar por debajo del peso declarado; meta de la sección 7.9 (no se valoró como beneficio)</t>
  </si>
  <si>
    <t xml:space="preserve">Lotes conformes a la primera</t>
  </si>
  <si>
    <t xml:space="preserve">Hoy hay fermentaciones fuera de pH (problema P4); meta de la sección 7.9</t>
  </si>
  <si>
    <t xml:space="preserve">Desvío del tiempo de fermentación (±)</t>
  </si>
  <si>
    <t xml:space="preserve">± respecto al tiempo esperado; hoy por muestreo manual</t>
  </si>
  <si>
    <t xml:space="preserve">Tiempo de trazabilidad de un lote (h)</t>
  </si>
  <si>
    <t xml:space="preserve">Problema P3: hoy se reconstruye con registros en papel</t>
  </si>
  <si>
    <t xml:space="preserve">Rezago en la disponibilidad de los KPIs (días)</t>
  </si>
  <si>
    <t xml:space="preserve">Hoy, informe semanal en Excel; con el MES, en línea</t>
  </si>
  <si>
    <t xml:space="preserve">Operarios de fin de línea (por día)</t>
  </si>
  <si>
    <t xml:space="preserve">Problema P6</t>
  </si>
  <si>
    <t xml:space="preserve">Consumo de energía, vapor y agua por lote</t>
  </si>
  <si>
    <t xml:space="preserve">No se mide</t>
  </si>
  <si>
    <t xml:space="preserve">Medido por lote y por receta</t>
  </si>
  <si>
    <t xml:space="preserve">Problema P7</t>
  </si>
  <si>
    <t xml:space="preserve">9. Flujo de información</t>
  </si>
  <si>
    <t xml:space="preserve">Paso</t>
  </si>
  <si>
    <t xml:space="preserve">Nivel ISA-95</t>
  </si>
  <si>
    <t xml:space="preserve">Pedidos de los clientes</t>
  </si>
  <si>
    <t xml:space="preserve">Correo y portales de las cadenas; el área comercial los consolida en Excel</t>
  </si>
  <si>
    <t xml:space="preserve">Igual, pero cargados en SAP SD</t>
  </si>
  <si>
    <t xml:space="preserve">Nivel 4</t>
  </si>
  <si>
    <t xml:space="preserve">Plan de producción</t>
  </si>
  <si>
    <t xml:space="preserve">Semanal, en Excel, a partir del inventario de SAP (solo finanzas e inventario)</t>
  </si>
  <si>
    <t xml:space="preserve">Diario: SAP genera las órdenes y las envía al MES</t>
  </si>
  <si>
    <t xml:space="preserve">Nivel 4 → 3</t>
  </si>
  <si>
    <t xml:space="preserve">Orden al operario</t>
  </si>
  <si>
    <t xml:space="preserve">Orden impresa por turno; el operario ajusta los parámetros a mano en cada HMI de fabricante</t>
  </si>
  <si>
    <t xml:space="preserve">El MES descarga la receta de control al PLC (ISA-88)</t>
  </si>
  <si>
    <t xml:space="preserve">Nivel 3 → 2/1</t>
  </si>
  <si>
    <t xml:space="preserve">Registro del lote</t>
  </si>
  <si>
    <t xml:space="preserve">Hojas de papel: temperaturas, pH cada 30–60 min, pesos</t>
  </si>
  <si>
    <t xml:space="preserve">Historian de Ignition y genealogía en el MES</t>
  </si>
  <si>
    <t xml:space="preserve">Nivel 2 → 3</t>
  </si>
  <si>
    <t xml:space="preserve">Liberación de calidad</t>
  </si>
  <si>
    <t xml:space="preserve">Calidad revisa las hojas al día siguiente</t>
  </si>
  <si>
    <t xml:space="preserve">Registro electrónico del lote y SPC en línea</t>
  </si>
  <si>
    <t xml:space="preserve">Nivel 3</t>
  </si>
  <si>
    <t xml:space="preserve">KPIs y reporte a SAP</t>
  </si>
  <si>
    <t xml:space="preserve">Digitación semanal en Excel; consumos e inventario se registran a mano en SAP</t>
  </si>
  <si>
    <t xml:space="preserve">OEE en línea; consumos y producción suben a SAP automáticamente</t>
  </si>
  <si>
    <t xml:space="preserve">Nivel 3 → 4</t>
  </si>
  <si>
    <t xml:space="preserve">10. Mantenimiento y fallas de los equipos de la línea</t>
  </si>
  <si>
    <t xml:space="preserve">Equipo e indicador</t>
  </si>
  <si>
    <t xml:space="preserve">Hoy</t>
  </si>
  <si>
    <t xml:space="preserve">U-232 Llenadora de vasos</t>
  </si>
  <si>
    <t xml:space="preserve">Calculado en la sección 3 con las fallas por día y el tiempo de operación</t>
  </si>
  <si>
    <t xml:space="preserve">   MTBF (h)</t>
  </si>
  <si>
    <t xml:space="preserve">   MTTR (min)</t>
  </si>
  <si>
    <t xml:space="preserve">   Disponibilidad inherente: MTBF / (MTBF + MTTR)</t>
  </si>
  <si>
    <t xml:space="preserve">U-233 Llenadora de botellas</t>
  </si>
  <si>
    <t xml:space="preserve">Máquina OEM con menos formatos; falla sobre todo el tapado</t>
  </si>
  <si>
    <t xml:space="preserve">U-212 Tren térmico (homogeneizador)</t>
  </si>
  <si>
    <t xml:space="preserve">Fallas de sellos y válvulas del homogeneizador; con la propuesta se vigilan la vibración y la presión diferencial (PDT-212)</t>
  </si>
  <si>
    <t xml:space="preserve">U-221 a U-224 Fermentadores</t>
  </si>
  <si>
    <t xml:space="preserve">Válvulas y agitadores; con la propuesta, válvulas con confirmación de posición y agitadores con variador</t>
  </si>
  <si>
    <t xml:space="preserve">U-241/U-242 Celda robotizada</t>
  </si>
  <si>
    <t xml:space="preserve">Hoy no existe (fin de línea manual). Referencia de integrador para celdas de paletizado con transportadores y pinzas</t>
  </si>
  <si>
    <t xml:space="preserve">Mantenimiento preventivo</t>
  </si>
  <si>
    <t xml:space="preserve">Casi todo correctivo; se interviene cuando el equipo falla</t>
  </si>
  <si>
    <t xml:space="preserve">Plan preventivo los domingos (día sin producción): 6 h semanales en llenadora, homogeneizador y celda</t>
  </si>
  <si>
    <t xml:space="preserve">Mantenimiento predictivo</t>
  </si>
  <si>
    <t xml:space="preserve">No existe</t>
  </si>
  <si>
    <t xml:space="preserve">Horas de operación, ciclos de válvulas, vibración y presiones desde el historian de Ignition; órdenes de trabajo desde el MES</t>
  </si>
  <si>
    <t xml:space="preserve">Repuestos críticos</t>
  </si>
  <si>
    <t xml:space="preserve">Se piden cuando ocurre la falla</t>
  </si>
  <si>
    <t xml:space="preserve">En sitio: mordazas y resistencias de sellado, sellos del homogeneizador, ventosas y pinzas de los robots</t>
  </si>
  <si>
    <t xml:space="preserve">Uso en la simulación (Tecnomatix)</t>
  </si>
  <si>
    <t xml:space="preserve">Fallas con distribución exponencial definidas por MTBF y MTTR de cada equipo</t>
  </si>
  <si>
    <t xml:space="preserve">Mismos datos para comparar escenarios</t>
  </si>
  <si>
    <t xml:space="preserve">11. Preparación U-211, tren térmico U-212 y fermentador del kéfir</t>
  </si>
  <si>
    <t xml:space="preserve">Ocupación de U-211 por lote de Y1 (h)</t>
  </si>
  <si>
    <t xml:space="preserve">Leche 25 min + polvos 24 min (1.400 kg a 3.500 kg/h) + hidratación 20 min + descarga al tren 60 min</t>
  </si>
  <si>
    <t xml:space="preserve">Ocupación de U-211 por lote de Y2 (h)</t>
  </si>
  <si>
    <t xml:space="preserve">Leche 30 min + descarga a 8.300 L/h 72 min</t>
  </si>
  <si>
    <t xml:space="preserve">Ocupación de U-211 por lote de Y3 (h)</t>
  </si>
  <si>
    <t xml:space="preserve">Leche 30 min + descarga 60 min</t>
  </si>
  <si>
    <t xml:space="preserve">Horas de proceso de U-211 por día</t>
  </si>
  <si>
    <t xml:space="preserve">CIP de U-211 por día (h)</t>
  </si>
  <si>
    <t xml:space="preserve">Hoy CIP manual en cada cambio; con la propuesta CIP automático según la transición</t>
  </si>
  <si>
    <t xml:space="preserve">Horas disponibles de U-211 por día</t>
  </si>
  <si>
    <t xml:space="preserve">Opera de 04:00 a 02:00: fuera de turno, en automático con las tolvas cargadas y supervisión del operador nocturno de servicios</t>
  </si>
  <si>
    <t xml:space="preserve">Ocupación de U-211</t>
  </si>
  <si>
    <t xml:space="preserve">Holgura suficiente; no es restricción</t>
  </si>
  <si>
    <t xml:space="preserve">Horas del tren térmico U-212 por día</t>
  </si>
  <si>
    <t xml:space="preserve">Lotes × (1,0 / 1,2 / 1,0 h) + 1,5 h de CIP del tren al final del día</t>
  </si>
  <si>
    <t xml:space="preserve">Ocupación del tren térmico</t>
  </si>
  <si>
    <t xml:space="preserve">Sobre 22 h disponibles</t>
  </si>
  <si>
    <t xml:space="preserve">Horas-tanque de kéfir por día</t>
  </si>
  <si>
    <t xml:space="preserve">Lotes de Y3 por día × ocupación por lote</t>
  </si>
  <si>
    <t xml:space="preserve">Horas-tanque de kéfir fuera de U-224 (segundo fermentador)</t>
  </si>
  <si>
    <t xml:space="preserve">U-224 da 24 h/día; el resto va a un segundo fermentador (U-223)</t>
  </si>
  <si>
    <t xml:space="preserve">Lote adicional de kéfir en un segundo fermentador: cada cuántos días</t>
  </si>
  <si>
    <t xml:space="preserve">Un lote adicional cada ≈ 4 días, con sanitización de 75 min e hisopado ATP antes de volver a yogur</t>
  </si>
  <si>
    <t xml:space="preserve">Simulación de eventos discretos de la línea 1 (sim.py): resultados que validan los KPIs del VSM y de la propuesta</t>
  </si>
  <si>
    <t xml:space="preserve">Paso de 1 minuto, 13 semanas por réplica (1 de calentamiento), 10 réplicas con semillas 1 a 10. Valores en azul = salida de sim.py copiada como dato; para actualizarlos se corre "python3 sim.py 10" y se pegan los valores de sim_results.json. El modelo de Tecnomatix Plant Simulation replica esta misma estructura (anexo D).</t>
  </si>
  <si>
    <t xml:space="preserve">Parámetros por escenario</t>
  </si>
  <si>
    <t xml:space="preserve">Actual</t>
  </si>
  <si>
    <t xml:space="preserve">Actual con demanda objetivo</t>
  </si>
  <si>
    <t xml:space="preserve">Propuesta con pausas escalonadas</t>
  </si>
  <si>
    <t xml:space="preserve">Propuesta con pausas fijas</t>
  </si>
  <si>
    <t xml:space="preserve">Fuente</t>
  </si>
  <si>
    <t xml:space="preserve">Demanda o programa Y1 (kg/día)</t>
  </si>
  <si>
    <t xml:space="preserve">VSM_Actual / Supuestos</t>
  </si>
  <si>
    <t xml:space="preserve">Demanda o programa Y2 (kg/día)</t>
  </si>
  <si>
    <t xml:space="preserve">Demanda o programa Y3 (kg/día)</t>
  </si>
  <si>
    <t xml:space="preserve">Cambio de formato de la llenadora (min)</t>
  </si>
  <si>
    <t xml:space="preserve">VSM_Actual (actual) y SMED de la propuesta</t>
  </si>
  <si>
    <t xml:space="preserve">Rendimiento de velocidad de la llenadora</t>
  </si>
  <si>
    <t xml:space="preserve">Desperdicio de envasado</t>
  </si>
  <si>
    <t xml:space="preserve">Horas extra por semana</t>
  </si>
  <si>
    <t xml:space="preserve">Pausas de la llenadora</t>
  </si>
  <si>
    <t xml:space="preserve">Fijas (almuerzo común)</t>
  </si>
  <si>
    <t xml:space="preserve">Fijas</t>
  </si>
  <si>
    <t xml:space="preserve">Escalonadas (06:00–22:00 continuo)</t>
  </si>
  <si>
    <t xml:space="preserve">Sección 6.9</t>
  </si>
  <si>
    <t xml:space="preserve">Resultados (media de 10 réplicas; ± = desviación estándar)</t>
  </si>
  <si>
    <t xml:space="preserve">Producción vendible total</t>
  </si>
  <si>
    <t xml:space="preserve">± desviación</t>
  </si>
  <si>
    <t xml:space="preserve">Producción vendible Y1</t>
  </si>
  <si>
    <t xml:space="preserve">Producción vendible Y2</t>
  </si>
  <si>
    <t xml:space="preserve">Producción vendible Y3</t>
  </si>
  <si>
    <t xml:space="preserve">Tiempo de paso (MLT) de Y1</t>
  </si>
  <si>
    <t xml:space="preserve">Lotes atrasados al final</t>
  </si>
  <si>
    <t xml:space="preserve">lotes</t>
  </si>
  <si>
    <t xml:space="preserve">Demanda o programa total</t>
  </si>
  <si>
    <t xml:space="preserve">Cumplimiento de la demanda (vendible / programa)</t>
  </si>
  <si>
    <t xml:space="preserve">Aumento de producción vendible frente al actual</t>
  </si>
  <si>
    <t xml:space="preserve">La propuesta solo cumple la demanda objetivo (97 % vendible y atraso estable) si las pausas de la llenadora se escalonan; con pausas fijas el atraso crece semana a semana. Los fermentadores siguen ocupados cerca del 98 %, por lo que la siguiente restricción después de la llenadora es la fermentación.</t>
  </si>
  <si>
    <t xml:space="preserve">Líneas 2 y 3: resultados esperados (referencia ±30 %) y proyecto de planta completa</t>
  </si>
  <si>
    <t xml:space="preserve">La línea 1 (yogures) está calculada en detalle en las demás hojas. Las líneas 2 (quesos) y 3 (UHT) son una referencia de ±30 % con un método simplificado: sin capital de trabajo, con todo el precio depreciado a 10 años y con recuperación = inversión / flujo promedio de los años 2 a 7. Fase 2 = línea 3 (UHT) y Fase 3 = línea 2 (quesos), según el orden recomendado.</t>
  </si>
  <si>
    <t xml:space="preserve">1. Datos productivos</t>
  </si>
  <si>
    <t xml:space="preserve">Línea 1: yogures</t>
  </si>
  <si>
    <t xml:space="preserve">Línea 2: quesos</t>
  </si>
  <si>
    <t xml:space="preserve">Línea 3: UHT y bebidas</t>
  </si>
  <si>
    <t xml:space="preserve">Leche asignada a la línea (L/día)</t>
  </si>
  <si>
    <t xml:space="preserve">Informe, sección 3 (cifras supuestas del caso; total del alcance 220.000 L/día)</t>
  </si>
  <si>
    <t xml:space="preserve">Crecimiento esperado de la producción</t>
  </si>
  <si>
    <t xml:space="preserve">L1: VSM. L2: sin crecimiento (las tinas usan 38 % y la empacadora tiene holgura; la demanda de quesos no es el detonante). L3: +11 % al subir el OEE de las llenadoras de 68 % a 80 % (capacidad +17 %, limitada por la demanda)</t>
  </si>
  <si>
    <t xml:space="preserve">Producción con la propuesta (kg/día)</t>
  </si>
  <si>
    <t xml:space="preserve">L1: VSM. L2 y L3: documento general, secciones 8.4 y 9.4</t>
  </si>
  <si>
    <t xml:space="preserve">Producción hoy (kg/día)</t>
  </si>
  <si>
    <t xml:space="preserve">Producción con la propuesta / (1 + crecimiento)</t>
  </si>
  <si>
    <t xml:space="preserve">Leche usada con la propuesta (L/día)</t>
  </si>
  <si>
    <t xml:space="preserve">L1: kg de leche / 1,03 kg/L. L2 y L3: balances de las secciones 8.4 y 9.4 del documento general</t>
  </si>
  <si>
    <t xml:space="preserve">Leche usada hoy (L/día)</t>
  </si>
  <si>
    <t xml:space="preserve">Proporcional a la producción</t>
  </si>
  <si>
    <t xml:space="preserve">Equipo crítico (define la capacidad)</t>
  </si>
  <si>
    <t xml:space="preserve">Llenadora de vasos U-232</t>
  </si>
  <si>
    <t xml:space="preserve">Empacadora Q-332</t>
  </si>
  <si>
    <t xml:space="preserve">Llenadoras asépticas L-431/L-432</t>
  </si>
  <si>
    <t xml:space="preserve">Equipo de la línea con mayor ocupación hoy</t>
  </si>
  <si>
    <t xml:space="preserve">OEE del equipo crítico hoy</t>
  </si>
  <si>
    <t xml:space="preserve">L1: VSM. L2: empaque y moldeo manuales (supuesto del caso). L3: las llenadoras asépticas ya traen control propio, por eso parten más alto (supuesto del caso)</t>
  </si>
  <si>
    <t xml:space="preserve">OEE meta</t>
  </si>
  <si>
    <t xml:space="preserve">Metas de las secciones 7.9, 8.9 y 9.9 del documento general</t>
  </si>
  <si>
    <t xml:space="preserve">Cuello de botella hoy</t>
  </si>
  <si>
    <t xml:space="preserve">Llenadora de vasos (100 %)</t>
  </si>
  <si>
    <t xml:space="preserve">Moldeo y empaque manuales</t>
  </si>
  <si>
    <t xml:space="preserve">Llenadoras asépticas (OEE 68 %)</t>
  </si>
  <si>
    <t xml:space="preserve">Análisis de capacidad de cada línea</t>
  </si>
  <si>
    <t xml:space="preserve">Restricción con la propuesta</t>
  </si>
  <si>
    <t xml:space="preserve">Fermentadores (89 %)</t>
  </si>
  <si>
    <t xml:space="preserve">Tinas y prensado</t>
  </si>
  <si>
    <t xml:space="preserve">Tren UHT (≈ 9,3 h/día de producción)</t>
  </si>
  <si>
    <t xml:space="preserve">Secciones 7.3, 8.3 y 9.3 del documento general</t>
  </si>
  <si>
    <t xml:space="preserve">Operarios de fin de línea liberados</t>
  </si>
  <si>
    <t xml:space="preserve">L1: 6 (Supuestos). L2: robot de moldes y paletizado, 2 por turno. L3: paletizado robotizado, 2 por turno</t>
  </si>
  <si>
    <t xml:space="preserve">Robótica propuesta</t>
  </si>
  <si>
    <t xml:space="preserve">2 robots delta + paletizador</t>
  </si>
  <si>
    <t xml:space="preserve">Robot sanitario de moldes + paletizador</t>
  </si>
  <si>
    <t xml:space="preserve">Paletizador con 2 estaciones</t>
  </si>
  <si>
    <t xml:space="preserve">Sección 4 (alcance de la robotización)</t>
  </si>
  <si>
    <t xml:space="preserve">2. Margen de contribución de la línea 3 por receta (COP/L)</t>
  </si>
  <si>
    <t xml:space="preserve">U1 leche entera 1 L</t>
  </si>
  <si>
    <t xml:space="preserve">U2 deslactosada 1 L</t>
  </si>
  <si>
    <t xml:space="preserve">U3 achocolatada 200 mL</t>
  </si>
  <si>
    <t xml:space="preserve">Precio al consumidor (COP/L)</t>
  </si>
  <si>
    <t xml:space="preserve">Caja de 1 L entre $4.671 y $6.400 en 2022 (El Tiempo), ajustada por inflación; U3: $2.300 por 200 mL (Alpin de Alpina $4.050 en Farmatodo, marca premium). Estimaciones</t>
  </si>
  <si>
    <t xml:space="preserve">Margen del canal</t>
  </si>
  <si>
    <t xml:space="preserve">Leche UHT es un producto de alta rotación y menor margen de canal que el yogur (40 %)</t>
  </si>
  <si>
    <t xml:space="preserve">Precio ex-fábrica (COP/L)</t>
  </si>
  <si>
    <t xml:space="preserve">Precio al consumidor × (1 − margen del canal)</t>
  </si>
  <si>
    <t xml:space="preserve">Leche por L de producto</t>
  </si>
  <si>
    <t xml:space="preserve">U3 lleva 8 % de azúcar, cacao y estabilizante (sección 9.1)</t>
  </si>
  <si>
    <t xml:space="preserve">Costo de leche (COP/L)</t>
  </si>
  <si>
    <t xml:space="preserve">Leche × precio al productor × (1 + acopio)</t>
  </si>
  <si>
    <t xml:space="preserve">Otros ingredientes (COP/L)</t>
  </si>
  <si>
    <t xml:space="preserve">U2: lactasa; U3: cacao, azúcar y carragenina. Estimaciones</t>
  </si>
  <si>
    <t xml:space="preserve">Envase aséptico (COP/L)</t>
  </si>
  <si>
    <t xml:space="preserve">Caja aséptica de 1 L ≈ $450; de 200 mL con pitillo ≈ $180 por unidad. Estimaciones</t>
  </si>
  <si>
    <t xml:space="preserve">Energía, vapor, agua y CIP (COP/L)</t>
  </si>
  <si>
    <t xml:space="preserve">UHT a 140 °C con regeneración. Estimación</t>
  </si>
  <si>
    <t xml:space="preserve">Logística y gasto comercial (% del precio ex-fábrica)</t>
  </si>
  <si>
    <t xml:space="preserve">Producto a temperatura ambiente: menor costo logístico que el yogur (12 %)</t>
  </si>
  <si>
    <t xml:space="preserve">Costo variable (COP/L)</t>
  </si>
  <si>
    <t xml:space="preserve">Suma de costos variables</t>
  </si>
  <si>
    <t xml:space="preserve">Margen de contribución (COP/L)</t>
  </si>
  <si>
    <t xml:space="preserve">Precio ex-fábrica − costo variable</t>
  </si>
  <si>
    <t xml:space="preserve">Margen de contribución (%)</t>
  </si>
  <si>
    <t xml:space="preserve">La leche blanca deja poco margen; la achocolatada, mucho más</t>
  </si>
  <si>
    <t xml:space="preserve">Producción con la propuesta (L/día)</t>
  </si>
  <si>
    <t xml:space="preserve">Sección 9.4 del documento general (U3: 70.700 envases × 0,2 L)</t>
  </si>
  <si>
    <t xml:space="preserve">Volumen adicional (L/día)</t>
  </si>
  <si>
    <t xml:space="preserve">Mismo crecimiento en las 3 recetas</t>
  </si>
  <si>
    <t xml:space="preserve">Margen del volumen adicional de la línea 3 (COP/día)</t>
  </si>
  <si>
    <t xml:space="preserve">Costo variable ponderado de la línea 3 (COP/L)</t>
  </si>
  <si>
    <t xml:space="preserve">3. Parámetros de los beneficios</t>
  </si>
  <si>
    <t xml:space="preserve">Mejora del rendimiento quesero</t>
  </si>
  <si>
    <t xml:space="preserve">Estandarización de grasa y proteína, y control del corte y del desuerado por receta: ≈ 1–2 % más queso con la misma leche (supuesto conservador)</t>
  </si>
  <si>
    <t xml:space="preserve">Costo variable por kg (COP)</t>
  </si>
  <si>
    <t xml:space="preserve">L2: 8,0 L de leche por kg de queso + $1.000 de empaque, sal y cuajo. L3: costo variable ponderado / 1,03 kg/L</t>
  </si>
  <si>
    <t xml:space="preserve">Rechazo hoy</t>
  </si>
  <si>
    <t xml:space="preserve">L2: peso y sellado al vacío. L3: sellado y peso de cajas asépticas (supuestos del caso)</t>
  </si>
  <si>
    <t xml:space="preserve">Metas de las secciones 8.9 y 9.9</t>
  </si>
  <si>
    <t xml:space="preserve">Energía, vapor y agua (COP/kg)</t>
  </si>
  <si>
    <t xml:space="preserve">L2: cocción e hilado de Q2 y CIP. L3: tren UHT. Estimaciones</t>
  </si>
  <si>
    <t xml:space="preserve">Costo evitado por retiro acotado (COP)</t>
  </si>
  <si>
    <t xml:space="preserve">Proporcional al valor de un día de producción de cada línea</t>
  </si>
  <si>
    <t xml:space="preserve">Días de cuarentena que se reducen</t>
  </si>
  <si>
    <t xml:space="preserve">Liberación electrónica en el MES: de 7 a 5 días en promedio (sección 9.6 del documento general)</t>
  </si>
  <si>
    <t xml:space="preserve">Costo de la parada para Pomar (COP)</t>
  </si>
  <si>
    <t xml:space="preserve">L1: margen perdido en 12 días. L2 y L3: integración en paradas de mantenimiento programadas de ≈ 6 días</t>
  </si>
  <si>
    <t xml:space="preserve">Costo interno de Pomar (COP)</t>
  </si>
  <si>
    <t xml:space="preserve">Líder de proyecto y apoyo de TI y calidad; menor en L2 y L3 porque la plataforma ya existe</t>
  </si>
  <si>
    <t xml:space="preserve">4. Beneficios anuales en régimen (COP/año, precios de 2026)</t>
  </si>
  <si>
    <t xml:space="preserve">Margen del volumen adicional (atribuible 50 %)</t>
  </si>
  <si>
    <t xml:space="preserve">L2: sin crecimiento de volumen. L3: margen del volumen adicional × 312 días × 50 % atribuible</t>
  </si>
  <si>
    <t xml:space="preserve">Rendimiento quesero (menos leche por kg de queso)</t>
  </si>
  <si>
    <t xml:space="preserve">Leche ahorrada × precio de la leche × 312 días</t>
  </si>
  <si>
    <t xml:space="preserve">Producto no rechazado</t>
  </si>
  <si>
    <t xml:space="preserve">Puntos de rechazo evitados × 75 % × producción × costo variable × 312 días</t>
  </si>
  <si>
    <t xml:space="preserve">Mano de obra liberada</t>
  </si>
  <si>
    <t xml:space="preserve">Operarios × (salario × factor prestacional + auxilio de transporte) × 12</t>
  </si>
  <si>
    <t xml:space="preserve">Ahorro de energía, vapor y agua (3 %)</t>
  </si>
  <si>
    <t xml:space="preserve">Producción × costo de energía por kg × 3 % × 312 días</t>
  </si>
  <si>
    <t xml:space="preserve">Retiros de producto acotados</t>
  </si>
  <si>
    <t xml:space="preserve">Probabilidad anual (10 %) × costo evitado</t>
  </si>
  <si>
    <t xml:space="preserve">Inventario en cuarentena liberado (costo de oportunidad)</t>
  </si>
  <si>
    <t xml:space="preserve">2 días de inventario × costo variable × TIO de Pomar</t>
  </si>
  <si>
    <t xml:space="preserve">Total beneficios anuales</t>
  </si>
  <si>
    <t xml:space="preserve">5. Evaluación financiera para Pomar</t>
  </si>
  <si>
    <t xml:space="preserve">Precio de Kuajo (sin IVA)</t>
  </si>
  <si>
    <t xml:space="preserve">Hoja Oferta: Fase 1 calculada; UHT (Fase 2) = 0,45 y quesos (Fase 3) = 0,55 × la automatización de la línea 1 sin la plataforma (±30 %)</t>
  </si>
  <si>
    <t xml:space="preserve">Inversión total de Pomar en el año 0</t>
  </si>
  <si>
    <t xml:space="preserve">Precio + parada + costo interno</t>
  </si>
  <si>
    <t xml:space="preserve">OPEX anual</t>
  </si>
  <si>
    <t xml:space="preserve">L1: hoja Beneficios_OPEX. L2 y L3: misma proporción OPEX / precio de la línea 1 (soporte, mantenimiento, repuestos)</t>
  </si>
  <si>
    <t xml:space="preserve">Beneficio neto anual en régimen</t>
  </si>
  <si>
    <t xml:space="preserve">Beneficios − OPEX</t>
  </si>
  <si>
    <t xml:space="preserve">6. Flujo de caja libre para Pomar (COP)</t>
  </si>
  <si>
    <t xml:space="preserve">Año 0</t>
  </si>
  <si>
    <t xml:space="preserve">L1: flujo detallado (hoja Flujo_Pomar). L2 y L3: (beneficios × captura − OPEX) × inflación × (1 − 35 %) + escudo de la depreciación a 10 años</t>
  </si>
  <si>
    <t xml:space="preserve">Año 1</t>
  </si>
  <si>
    <t xml:space="preserve">Año 1 al 60 % por curva de aprendizaje</t>
  </si>
  <si>
    <t xml:space="preserve">Año 2</t>
  </si>
  <si>
    <t xml:space="preserve">Año 3</t>
  </si>
  <si>
    <t xml:space="preserve">Año 4</t>
  </si>
  <si>
    <t xml:space="preserve">Año 5</t>
  </si>
  <si>
    <t xml:space="preserve">Año 6</t>
  </si>
  <si>
    <t xml:space="preserve">Año 7</t>
  </si>
  <si>
    <t xml:space="preserve">7. Indicadores para Pomar</t>
  </si>
  <si>
    <t xml:space="preserve">VPN a la TIO</t>
  </si>
  <si>
    <t xml:space="preserve">Horizonte de 7 años, sin valor residual (igual que la línea 1)</t>
  </si>
  <si>
    <t xml:space="preserve">TIR</t>
  </si>
  <si>
    <t xml:space="preserve">Comparar con la TIO de Pomar</t>
  </si>
  <si>
    <t xml:space="preserve">Recuperación simple (años)</t>
  </si>
  <si>
    <t xml:space="preserve">L1: cálculo exacto (hoja Flujo_Pomar). L2 y L3: inversión / flujo promedio de los años 2 a 7 (aproximación)</t>
  </si>
  <si>
    <t xml:space="preserve">Beneficio neto anual / inversión</t>
  </si>
  <si>
    <t xml:space="preserve">Cuántas veces al año se recupera la inversión</t>
  </si>
  <si>
    <t xml:space="preserve">Factor de valor presente de 1 peso anual (años 1 a 7)</t>
  </si>
  <si>
    <t xml:space="preserve">Con la captura del 60 % en el año 1, la inflación y la TIO</t>
  </si>
  <si>
    <t xml:space="preserve">Rendimiento quesero de equilibrio (VPN = 0 en la línea 2)</t>
  </si>
  <si>
    <t xml:space="preserve">Mejora de rendimiento que haría rentable la Fase 2 solo con eficiencia</t>
  </si>
  <si>
    <t xml:space="preserve">Conviene (calculada en detalle)</t>
  </si>
  <si>
    <t xml:space="preserve">VPN &gt; 0 → conviene</t>
  </si>
  <si>
    <t xml:space="preserve">8. Proyecto de planta completa (3 líneas, 9 productos)</t>
  </si>
  <si>
    <t xml:space="preserve">Precio total de Kuajo (3 fases, sin IVA)</t>
  </si>
  <si>
    <t xml:space="preserve">Fase 1 + Fase 2 + Fase 3 (hoja Oferta)</t>
  </si>
  <si>
    <t xml:space="preserve">Costo total para Kuajo</t>
  </si>
  <si>
    <t xml:space="preserve">Misma relación costo/precio de la Fase 1</t>
  </si>
  <si>
    <t xml:space="preserve">Utilidad antes de impuestos de Kuajo</t>
  </si>
  <si>
    <t xml:space="preserve">Utilidad neta de Kuajo</t>
  </si>
  <si>
    <t xml:space="preserve">Después del impuesto de renta de 35 %</t>
  </si>
  <si>
    <t xml:space="preserve">Inversión total de Pomar</t>
  </si>
  <si>
    <t xml:space="preserve">Suma de las 3 líneas</t>
  </si>
  <si>
    <t xml:space="preserve">Beneficios anuales en régimen</t>
  </si>
  <si>
    <t xml:space="preserve">VPN combinado para Pomar (fases escalonadas)</t>
  </si>
  <si>
    <t xml:space="preserve">Fase 2 (UHT) empieza 1 año después y Fase 3 (quesos) 2 años después de la Fase 1 (orden recomendado)</t>
  </si>
  <si>
    <t xml:space="preserve">Duración de la Fase 2: UHT (semanas)</t>
  </si>
  <si>
    <t xml:space="preserve">Integración de máquinas OEM con PackML y paletizado; sin fermentación ni recetas complejas</t>
  </si>
  <si>
    <t xml:space="preserve">Duración de la Fase 3: quesos (semanas)</t>
  </si>
  <si>
    <t xml:space="preserve">Sin plataforma ni red troncal; sí con robot sanitario de moldes (importación de 20 semanas)</t>
  </si>
  <si>
    <t xml:space="preserve">Duración del programa completo (semanas)</t>
  </si>
  <si>
    <t xml:space="preserve">Fases en serie con el mismo equipo de 6 personas (≈ 2 años)</t>
  </si>
  <si>
    <t xml:space="preserve">Producción total de la planta hoy (kg/día)</t>
  </si>
  <si>
    <t xml:space="preserve">Producción total con el proyecto completo (kg/día)</t>
  </si>
  <si>
    <t xml:space="preserve">Leche total de la planta hoy (L/día)</t>
  </si>
  <si>
    <t xml:space="preserve">3 líneas + ≈ 40.000 L/día de productos fuera del alcance (bolsa, mantequilla)</t>
  </si>
  <si>
    <t xml:space="preserve">Leche total con el proyecto completo (L/día)</t>
  </si>
  <si>
    <t xml:space="preserve">Debe ser ≤ al acopio de ≈ 260.000 L/día (Portafolio, 2023)</t>
  </si>
  <si>
    <t xml:space="preserve">Acopio de Pomar (L/día)</t>
  </si>
  <si>
    <t xml:space="preserve">95 millones de litros en 2023 (Portafolio)</t>
  </si>
  <si>
    <t xml:space="preserve">Holgura de leche con el proyecto completo</t>
  </si>
  <si>
    <t xml:space="preserve">Si es negativa, faltaría leche</t>
  </si>
  <si>
    <t xml:space="preserve">Recursos compartidos de la planta: capacidad, demanda y utilización en 3 escenarios</t>
  </si>
  <si>
    <t xml:space="preserve">Hoy · con la línea 1 automatizada (Fase 1) · con la planta completa (Fases 1 a 3). Capacidades y factores de consumo: supuestos del caso por validar en la visita industrial.</t>
  </si>
  <si>
    <t xml:space="preserve">Dato de entrada</t>
  </si>
  <si>
    <t xml:space="preserve">Fase 1 (línea 1)</t>
  </si>
  <si>
    <t xml:space="preserve">Planta completa</t>
  </si>
  <si>
    <t xml:space="preserve">Leche de la línea 1 (L/día)</t>
  </si>
  <si>
    <t xml:space="preserve">Hoja Lineas_2_3</t>
  </si>
  <si>
    <t xml:space="preserve">Leche de la línea 2 (L/día)</t>
  </si>
  <si>
    <t xml:space="preserve">Leche de la línea 3 (L/día)</t>
  </si>
  <si>
    <t xml:space="preserve">Leche de otros productos (L/día)</t>
  </si>
  <si>
    <t xml:space="preserve">Leche en bolsa, mantequilla y leche condensada (sección 3)</t>
  </si>
  <si>
    <t xml:space="preserve">Leche total (L/día)</t>
  </si>
  <si>
    <t xml:space="preserve">Suma</t>
  </si>
  <si>
    <t xml:space="preserve">Lotes de Y2 por día</t>
  </si>
  <si>
    <t xml:space="preserve">Hoja VSM_Actual</t>
  </si>
  <si>
    <t xml:space="preserve">Pallets de yogur por día</t>
  </si>
  <si>
    <t xml:space="preserve">Días de yogur en cámara (liberación + stock)</t>
  </si>
  <si>
    <t xml:space="preserve">Yogur Y1 y Y2: 24 h de liberación + 48 h de stock hoy; 24 h de stock con el plan diario. El kéfir (Y3) se libera a las 48 h: 1 día más</t>
  </si>
  <si>
    <t xml:space="preserve">Pallets de queso por día</t>
  </si>
  <si>
    <t xml:space="preserve">≈ 7.470 kg/día en cajas de 10–12 kg (sección 8.5 del documento general)</t>
  </si>
  <si>
    <t xml:space="preserve">Pallets de UHT por día</t>
  </si>
  <si>
    <t xml:space="preserve">≈ 102 pallets/día con la propuesta (sección 9.4 del documento general)</t>
  </si>
  <si>
    <t xml:space="preserve">Días de UHT en cuarentena</t>
  </si>
  <si>
    <t xml:space="preserve">Liberación electrónica en el MES en la Fase 3</t>
  </si>
  <si>
    <t xml:space="preserve">Factor de consumo</t>
  </si>
  <si>
    <t xml:space="preserve">Yogur</t>
  </si>
  <si>
    <t xml:space="preserve">Quesos</t>
  </si>
  <si>
    <t xml:space="preserve">UHT</t>
  </si>
  <si>
    <t xml:space="preserve">Vapor por 1.000 L procesados (kg)</t>
  </si>
  <si>
    <t xml:space="preserve">Calentar de 4 a 90 °C con 90 % de regeneración ≈ 15 kg de vapor por 1.000 L, más camisas, agua caliente y CIP. Otros: 60 kg. Estimación</t>
  </si>
  <si>
    <t xml:space="preserve">Frío por 1.000 L/día procesados (kW)</t>
  </si>
  <si>
    <t xml:space="preserve">El yogur enfría de 43 a 20 °C y madura el kéfir a 9 °C; el UHT sale frío de la regeneración. Otros: 1,5 kW. Estimación</t>
  </si>
  <si>
    <t xml:space="preserve">Recurso compartido</t>
  </si>
  <si>
    <t xml:space="preserve">Capacidad y cálculo</t>
  </si>
  <si>
    <t xml:space="preserve">Acopio de leche</t>
  </si>
  <si>
    <t xml:space="preserve">Capacidad: 260000 L/día. 95 millones de litros en 2023 (Portafolio)</t>
  </si>
  <si>
    <t xml:space="preserve">   Demanda</t>
  </si>
  <si>
    <t xml:space="preserve">   Capacidad</t>
  </si>
  <si>
    <t xml:space="preserve">   Utilización</t>
  </si>
  <si>
    <t xml:space="preserve">Recepción de leche (R-111, 2 plataformas)</t>
  </si>
  <si>
    <t xml:space="preserve">Capacidad: 1000000 L/día. 2 plataformas × 25.000 L/h × 20 h; los carrotanques llegan concentrados en la madrugada</t>
  </si>
  <si>
    <t xml:space="preserve">Silos de leche cruda (R-121 a R-123)</t>
  </si>
  <si>
    <t xml:space="preserve">Capacidad: 240000 L. 3 × 80.000 L; demanda = leche de 12 h (residencia promedio)</t>
  </si>
  <si>
    <t xml:space="preserve">Tratamiento inicial (R-131: clarificación, descremado, estandarización)</t>
  </si>
  <si>
    <t xml:space="preserve">Capacidad: 400000 L/día. 20.000 L/h × 20 h</t>
  </si>
  <si>
    <t xml:space="preserve">CIP-100 de recepción y silos</t>
  </si>
  <si>
    <t xml:space="preserve">Capacidad: 20 h/día. Lavado de cada carrotanque de 25.000 L (45 min) + 1 silo por día (1,5 h)</t>
  </si>
  <si>
    <t xml:space="preserve">Vapor (caldera S-511), demanda pico</t>
  </si>
  <si>
    <t xml:space="preserve">Capacidad: 4000 kg/h. Σ leche × vapor por 1.000 L / 16 h × 1,5 (factor de pico por arranques simultáneos)</t>
  </si>
  <si>
    <t xml:space="preserve">Agua helada (S-521)</t>
  </si>
  <si>
    <t xml:space="preserve">Capacidad: 700 kW. Σ leche × frío por 1.000 L/día</t>
  </si>
  <si>
    <t xml:space="preserve">Manejo de suero (S-551)</t>
  </si>
  <si>
    <t xml:space="preserve">Capacidad: 90000 L/día. Suero dulce de quesos (leche − queso) + suero ácido de Y2 (≈ 6.950 kg por lote)</t>
  </si>
  <si>
    <t xml:space="preserve">Cámara refrigerada A-611 (yogur y quesos)</t>
  </si>
  <si>
    <t xml:space="preserve">Capacidad: 420 posiciones de pallet en racks de 4 niveles (≈ 20 × 28 m). Pallets/día × días en cámara (kéfir 1 día más); quesos 2 días</t>
  </si>
  <si>
    <t xml:space="preserve">Bodega de UHT en cuarentena A-621</t>
  </si>
  <si>
    <t xml:space="preserve">Capacidad: 800 posiciones de pallet en racks de 5 niveles (≈ 20 × 29,5 m). Pallets/día × días de cuarentena</t>
  </si>
  <si>
    <t xml:space="preserve">Muelles de despacho A-631</t>
  </si>
  <si>
    <t xml:space="preserve">Capacidad: 64 camiones/día. 2 muelles × 16 h × 2 camiones/h; 24 pallets por camión</t>
  </si>
  <si>
    <t xml:space="preserve">• Con la línea 1 automatizada ningún recurso compartido se satura, pero el acopio de leche sube de 88 % a 95 %: es el recurso más cargado de la planta, porque el griego (Y2) usa 3,3 kg de leche por kg de producto.</t>
  </si>
  <si>
    <t xml:space="preserve">• Entre los equipos compartidos, el más cargado es el manejo de suero (de 73 % a 84 %): el griego genera suero ácido y se suma al suero dulce de quesos.</t>
  </si>
  <si>
    <t xml:space="preserve">• La cámara refrigerada se libera (de 84 % a 70 %) aunque se produce 20 % más, porque el yogur pasa 2 días en cámara en vez de 3 (el kéfir, 3 en vez de 4).</t>
  </si>
  <si>
    <t xml:space="preserve">• Con la planta completa, la restricción de toda la planta pasa a ser el acopio de leche (≈ 98 %).</t>
  </si>
  <si>
    <t xml:space="preserve">Cotizaciones y precios de referencia de suministros (Fase 1: línea de yogures + plataforma de planta)</t>
  </si>
  <si>
    <t xml:space="preserve">“Publicado” = precio de lista consultado en línea (fuente en la columna L). “Estimación” = valor de referencia de integrador, a reemplazar por 3 cotizaciones formales antes de la orden de compra.</t>
  </si>
  <si>
    <t xml:space="preserve">#</t>
  </si>
  <si>
    <t xml:space="preserve">Paquete</t>
  </si>
  <si>
    <t xml:space="preserve">Actividad EDT</t>
  </si>
  <si>
    <t xml:space="preserve">Descripción</t>
  </si>
  <si>
    <t xml:space="preserve">Tag o uso</t>
  </si>
  <si>
    <t xml:space="preserve">Cant.</t>
  </si>
  <si>
    <t xml:space="preserve">Precio unitario</t>
  </si>
  <si>
    <t xml:space="preserve">Importado</t>
  </si>
  <si>
    <t xml:space="preserve">Tipo de precio</t>
  </si>
  <si>
    <t xml:space="preserve">Grupo de compra</t>
  </si>
  <si>
    <t xml:space="preserve">Clase para depreciación</t>
  </si>
  <si>
    <t xml:space="preserve">Instrumentación</t>
  </si>
  <si>
    <t xml:space="preserve">4.2</t>
  </si>
  <si>
    <t xml:space="preserve">Caudalímetro Coriolis higiénico (ref. E+H Promass S 300)</t>
  </si>
  <si>
    <t xml:space="preserve">FT-211, FT-231</t>
  </si>
  <si>
    <t xml:space="preserve">Rango publicado</t>
  </si>
  <si>
    <t xml:space="preserve">Instrumart, Endress+Hauser Coriolis: precio «desde» de la configuración base (se clasifica como rango)</t>
  </si>
  <si>
    <t xml:space="preserve">Instrumentación E+H</t>
  </si>
  <si>
    <t xml:space="preserve">Equipo</t>
  </si>
  <si>
    <t xml:space="preserve">Caudalímetro electromagnético higiénico (ref. E+H Promag H 300)</t>
  </si>
  <si>
    <t xml:space="preserve">FT-212, FT-228, FT-201</t>
  </si>
  <si>
    <t xml:space="preserve">Publicado</t>
  </si>
  <si>
    <t xml:space="preserve">Instrumart, Endress+Hauser flow meters</t>
  </si>
  <si>
    <t xml:space="preserve">Termómetro higiénico digital (ref. E+H iTHERM TM411, incluye recargo de 8,4 %)</t>
  </si>
  <si>
    <t xml:space="preserve">TT-211 a TT-227, TT-201</t>
  </si>
  <si>
    <t xml:space="preserve">Instrumart, iTHERM TM411 ($482,03 + 8,4 % de recargo)</t>
  </si>
  <si>
    <t xml:space="preserve">Sensor de pH digital (ref. E+H Memosens CPS77E)</t>
  </si>
  <si>
    <t xml:space="preserve">AT-221 a AT-224, AT-227</t>
  </si>
  <si>
    <t xml:space="preserve">Instrumart, sensores de pH E+H</t>
  </si>
  <si>
    <t xml:space="preserve">Transmisor de pH (ref. E+H Liquiline M CM42, pH/ORP)</t>
  </si>
  <si>
    <t xml:space="preserve">Instrumart, Liquiline M CM42 (variante pH)</t>
  </si>
  <si>
    <t xml:space="preserve">Transmisor de conductividad del CIP (ref. E+H CM42)</t>
  </si>
  <si>
    <t xml:space="preserve">AT-201</t>
  </si>
  <si>
    <t xml:space="preserve">Instrumart, Liquiline M CM42</t>
  </si>
  <si>
    <t xml:space="preserve">Sensor toroidal de conductividad higiénico</t>
  </si>
  <si>
    <t xml:space="preserve">Estimación de integrador</t>
  </si>
  <si>
    <t xml:space="preserve">Radar de nivel higiénico (ref. E+H Micropilot FMR43)</t>
  </si>
  <si>
    <t xml:space="preserve">LT-211, LT-226, LT-227</t>
  </si>
  <si>
    <t xml:space="preserve">Instrumart, Micropilot FMR43</t>
  </si>
  <si>
    <t xml:space="preserve">Juego de celdas de carga higiénicas con indicador EtherNet/IP</t>
  </si>
  <si>
    <t xml:space="preserve">WT-211, WT-212, WT-221 a WT-224</t>
  </si>
  <si>
    <t xml:space="preserve">Transmisores de presión y presión diferencial higiénicos</t>
  </si>
  <si>
    <t xml:space="preserve">PT-212, PDT-212</t>
  </si>
  <si>
    <t xml:space="preserve">Analizador NIR de proteína en línea</t>
  </si>
  <si>
    <t xml:space="preserve">AT-228</t>
  </si>
  <si>
    <t xml:space="preserve">Estimación de integrador (rango de mercado US$40.000–80.000)</t>
  </si>
  <si>
    <t xml:space="preserve">Analizador NIR</t>
  </si>
  <si>
    <t xml:space="preserve">Interruptores de nivel vibratorios</t>
  </si>
  <si>
    <t xml:space="preserve">LSL-221 a LSL-224</t>
  </si>
  <si>
    <t xml:space="preserve">Inspección</t>
  </si>
  <si>
    <t xml:space="preserve">Pesadora dinámica con rechazo</t>
  </si>
  <si>
    <t xml:space="preserve">WT-234 (vasos y botellas)</t>
  </si>
  <si>
    <t xml:space="preserve">Detector de metales con rechazo</t>
  </si>
  <si>
    <t xml:space="preserve">MD-234</t>
  </si>
  <si>
    <t xml:space="preserve">Visión artificial (OCR de lote y sello)</t>
  </si>
  <si>
    <t xml:space="preserve">VS-234</t>
  </si>
  <si>
    <t xml:space="preserve">Válvulas y actuadores</t>
  </si>
  <si>
    <t xml:space="preserve">Válvula mix-proof con cabezal de control (ref. Alfa Laval Unique Mixproof)</t>
  </si>
  <si>
    <t xml:space="preserve">XV-2xx</t>
  </si>
  <si>
    <t xml:space="preserve">Estimación; el distribuidor no publica precio. Rango de mercado con cabezal ≈ US$4.500–7.000; sensibilidad +50 % ≈ +$191 M (riesgo R2/contingencia)</t>
  </si>
  <si>
    <t xml:space="preserve">Válvulas</t>
  </si>
  <si>
    <t xml:space="preserve">Válvula de control sanitaria con posicionador</t>
  </si>
  <si>
    <t xml:space="preserve">TCV-211, TCV-212, TCV-212C, TCV-221A/B a TCV-224A/B, TCV-225, TCV-227</t>
  </si>
  <si>
    <t xml:space="preserve">Válvula de desvío de flujo (PCC 1)</t>
  </si>
  <si>
    <t xml:space="preserve">FDV-212</t>
  </si>
  <si>
    <t xml:space="preserve">Variador de velocidad EtherNet/IP</t>
  </si>
  <si>
    <t xml:space="preserve">SC-211, SC-212, SC-213, SC-220, SC-221 a SC-224, SC-226, SC-227, SC-231 + 1 de repuesto</t>
  </si>
  <si>
    <t xml:space="preserve">Control</t>
  </si>
  <si>
    <t xml:space="preserve">4.4</t>
  </si>
  <si>
    <t xml:space="preserve">PLC ControlLogix 5580 (1756-L83E) con chasis, fuente y módulos de red</t>
  </si>
  <si>
    <t xml:space="preserve">PLC de la línea</t>
  </si>
  <si>
    <t xml:space="preserve">Estimación; lista de distribuidores en línea</t>
  </si>
  <si>
    <t xml:space="preserve">PLC y E/S</t>
  </si>
  <si>
    <t xml:space="preserve">PLC de seguridad GuardLogix para la celda robotizada</t>
  </si>
  <si>
    <t xml:space="preserve">Seguridad de celda</t>
  </si>
  <si>
    <t xml:space="preserve">E/S remotas EtherNet/IP y terminales IO-Link (lote)</t>
  </si>
  <si>
    <t xml:space="preserve">Toda la línea</t>
  </si>
  <si>
    <t xml:space="preserve">TI/OT</t>
  </si>
  <si>
    <t xml:space="preserve">Servidores redundantes para SCADA, MES e historian</t>
  </si>
  <si>
    <t xml:space="preserve">Nivel 2–3</t>
  </si>
  <si>
    <t xml:space="preserve">Red y servidores</t>
  </si>
  <si>
    <t xml:space="preserve">TI/Software</t>
  </si>
  <si>
    <t xml:space="preserve">Switches industriales gestionados</t>
  </si>
  <si>
    <t xml:space="preserve">Red por área</t>
  </si>
  <si>
    <t xml:space="preserve">Firewall industrial para la DMZ</t>
  </si>
  <si>
    <t xml:space="preserve">Nivel 3.5</t>
  </si>
  <si>
    <t xml:space="preserve">Paneles HMI industriales (clientes Ignition)</t>
  </si>
  <si>
    <t xml:space="preserve">Puestos de operación</t>
  </si>
  <si>
    <t xml:space="preserve">UPS para servidores y red</t>
  </si>
  <si>
    <t xml:space="preserve">Sala de servidores</t>
  </si>
  <si>
    <t xml:space="preserve">Servidor de la DMZ industrial (máquinas virtuales: servidor de salto, réplica del historian y SQL, pasarela de datos)</t>
  </si>
  <si>
    <t xml:space="preserve">Estimación de integrador: servidor de 1U con virtualización y licencias de sistema operativo; separado de los servidores de supervisión por ISA/IEC 62443</t>
  </si>
  <si>
    <t xml:space="preserve">Estación de ingeniería (portátil industrial con licencia de Studio 5000 para Pomar)</t>
  </si>
  <si>
    <t xml:space="preserve">Mantenimiento de Pomar</t>
  </si>
  <si>
    <t xml:space="preserve">Estimación de integrador: portátil ≈ US$3.500 + licencia Studio 5000 Standard ≈ US$4.000; Ignition Designer viene con el gateway</t>
  </si>
  <si>
    <t xml:space="preserve">Robótica</t>
  </si>
  <si>
    <t xml:space="preserve">4.3</t>
  </si>
  <si>
    <t xml:space="preserve">Robot delta para encajonado (ref. ABB IRB 360, fabricado en Suecia)</t>
  </si>
  <si>
    <t xml:space="preserve">U-242</t>
  </si>
  <si>
    <t xml:space="preserve">EVS Robot 2026: delta US$30.000–60.000 (punto medio)</t>
  </si>
  <si>
    <t xml:space="preserve">Robots y celda</t>
  </si>
  <si>
    <t xml:space="preserve">Robot paletizador de 4 ejes (ref. ABB IRB 460, fabricado en Suecia)</t>
  </si>
  <si>
    <t xml:space="preserve">U-241</t>
  </si>
  <si>
    <t xml:space="preserve">EVS Robot 2026: paletizado US$50.000–120.000</t>
  </si>
  <si>
    <t xml:space="preserve">Herramienta combinada del paletizador</t>
  </si>
  <si>
    <t xml:space="preserve">Standard Bots 2026: herramientas US$2.000–20.000 (extremo alto por ser combinada)</t>
  </si>
  <si>
    <t xml:space="preserve">Herramientas de los robots delta con cambiador automático</t>
  </si>
  <si>
    <t xml:space="preserve">Standard Bots 2026: herramientas US$2.000–20.000</t>
  </si>
  <si>
    <t xml:space="preserve">Seguridad de celda (cerco, cortinas, escáner)</t>
  </si>
  <si>
    <t xml:space="preserve">Celda 240</t>
  </si>
  <si>
    <t xml:space="preserve">Transportadores de acumulación y formadora de cajas</t>
  </si>
  <si>
    <t xml:space="preserve">Envolvedora automática de pallets</t>
  </si>
  <si>
    <t xml:space="preserve">Etiquetadora de pallets GS1-128</t>
  </si>
  <si>
    <t xml:space="preserve">Software</t>
  </si>
  <si>
    <t xml:space="preserve">4.6</t>
  </si>
  <si>
    <t xml:space="preserve">Ignition Platform (gateway)</t>
  </si>
  <si>
    <t xml:space="preserve">SCADA</t>
  </si>
  <si>
    <t xml:space="preserve">No</t>
  </si>
  <si>
    <t xml:space="preserve">Inductive Automation, Full Ignition Price List</t>
  </si>
  <si>
    <t xml:space="preserve">Software Ignition</t>
  </si>
  <si>
    <t xml:space="preserve">Ignition Perspective (ilimitado)</t>
  </si>
  <si>
    <t xml:space="preserve">HMI web</t>
  </si>
  <si>
    <t xml:space="preserve">Ignition Tag Historian</t>
  </si>
  <si>
    <t xml:space="preserve">Historian</t>
  </si>
  <si>
    <t xml:space="preserve">Ignition SQL Bridge</t>
  </si>
  <si>
    <t xml:space="preserve">Base de datos</t>
  </si>
  <si>
    <t xml:space="preserve">Ignition Reporting</t>
  </si>
  <si>
    <t xml:space="preserve">Reportes</t>
  </si>
  <si>
    <t xml:space="preserve">Ignition Alarm Notification</t>
  </si>
  <si>
    <t xml:space="preserve">Alarmas</t>
  </si>
  <si>
    <t xml:space="preserve">Ignition Enterprise Administration</t>
  </si>
  <si>
    <t xml:space="preserve">Redundancia y administración</t>
  </si>
  <si>
    <t xml:space="preserve">Gateway Ignition de respaldo (redundante, 50 % del precio)</t>
  </si>
  <si>
    <t xml:space="preserve">Redundancia</t>
  </si>
  <si>
    <t xml:space="preserve">Supuesto: 50 % de la suma de licencias Ignition (Sepasoft publica 50 % para licencias redundantes; confirmar con Inductive Automation)</t>
  </si>
  <si>
    <t xml:space="preserve">Sepasoft OEE Downtime</t>
  </si>
  <si>
    <t xml:space="preserve">MES</t>
  </si>
  <si>
    <t xml:space="preserve">Sepasoft, MES Pricing</t>
  </si>
  <si>
    <t xml:space="preserve">Software Sepasoft</t>
  </si>
  <si>
    <t xml:space="preserve">Sepasoft Track &amp; Trace</t>
  </si>
  <si>
    <t xml:space="preserve">MES (genealogía)</t>
  </si>
  <si>
    <t xml:space="preserve">Sepasoft Batch Procedure (ISA-88)</t>
  </si>
  <si>
    <t xml:space="preserve">MES (lotes)</t>
  </si>
  <si>
    <t xml:space="preserve">Sepasoft SPC</t>
  </si>
  <si>
    <t xml:space="preserve">MES (calidad)</t>
  </si>
  <si>
    <t xml:space="preserve">Sepasoft Settings &amp; Changeover</t>
  </si>
  <si>
    <t xml:space="preserve">MES (recetas y cambios)</t>
  </si>
  <si>
    <t xml:space="preserve">Sepasoft Business Connector</t>
  </si>
  <si>
    <t xml:space="preserve">Integración</t>
  </si>
  <si>
    <t xml:space="preserve">Sepasoft Interface for SAP ERP</t>
  </si>
  <si>
    <t xml:space="preserve">Integración con SAP</t>
  </si>
  <si>
    <t xml:space="preserve">Sepasoft Web Services</t>
  </si>
  <si>
    <t xml:space="preserve">Obras y montaje locales</t>
  </si>
  <si>
    <t xml:space="preserve">4.5</t>
  </si>
  <si>
    <t xml:space="preserve">Tableros eléctricos y de control (fabricación local)</t>
  </si>
  <si>
    <t xml:space="preserve">3 tableros</t>
  </si>
  <si>
    <t xml:space="preserve">Estimación de integrador; cotizar con 3 tableristas certificados RETIE</t>
  </si>
  <si>
    <t xml:space="preserve">Tableros</t>
  </si>
  <si>
    <t xml:space="preserve">6.1</t>
  </si>
  <si>
    <t xml:space="preserve">Obras civiles menores (bases de robots, cerramientos, canaletas)</t>
  </si>
  <si>
    <t xml:space="preserve">Celda 240 y sala de servidores</t>
  </si>
  <si>
    <t xml:space="preserve">Obras civiles</t>
  </si>
  <si>
    <t xml:space="preserve">6.2</t>
  </si>
  <si>
    <t xml:space="preserve">Montaje mecánico y tubería sanitaria de acero inoxidable</t>
  </si>
  <si>
    <t xml:space="preserve">Matriz de válvulas e instrumentos</t>
  </si>
  <si>
    <t xml:space="preserve">Montaje mecánico</t>
  </si>
  <si>
    <t xml:space="preserve">6.3</t>
  </si>
  <si>
    <t xml:space="preserve">Montaje eléctrico, bandejas, cableado e instrumentación</t>
  </si>
  <si>
    <t xml:space="preserve">Montaje eléctrico</t>
  </si>
  <si>
    <t xml:space="preserve">6.5</t>
  </si>
  <si>
    <t xml:space="preserve">Cableado estructurado y fibra óptica OT</t>
  </si>
  <si>
    <t xml:space="preserve">6.4</t>
  </si>
  <si>
    <t xml:space="preserve">Grúa, izaje y traslado de la celda robotizada (taller del integrador en Bogotá → Cajicá)</t>
  </si>
  <si>
    <t xml:space="preserve">Estimación: grúa de 50 t por 2 días, aparejos certificados y camión de cama baja; cotizar con 2 empresas de izaje</t>
  </si>
  <si>
    <t xml:space="preserve">Izaje y seguros de montaje</t>
  </si>
  <si>
    <t xml:space="preserve">Póliza todo riesgo montaje (equipos durante montaje, pruebas y arranque)</t>
  </si>
  <si>
    <t xml:space="preserve">≈ 0,25 % del valor asegurado de los equipos (≈ $4.300 M) por 4 meses; coberturas mínimas según condiciones de pólizas TRM (BBVA Seguros Colombia, 2026)</t>
  </si>
  <si>
    <t xml:space="preserve">Registrador sin papel del PCC 1 con relé de límite independiente cableado a FDV-212 (ref. E+H Memograph M RSG45)</t>
  </si>
  <si>
    <t xml:space="preserve">TR-212B, TSL-212B</t>
  </si>
  <si>
    <t xml:space="preserve">Estimación de integrador (lista de distribuidores ≈ US$3.500–5.500)</t>
  </si>
  <si>
    <t xml:space="preserve">Lector industrial de código de barras 1D/2D con EtherNet/IP (lotes de ingredientes, cultivo y material de empaque)</t>
  </si>
  <si>
    <t xml:space="preserve">XI-211, XI-221 a XI-224, XI-231, XI-232, XI-233</t>
  </si>
  <si>
    <t xml:space="preserve">Estimación de integrador (lectores fijos industriales US$1.000–2.500)</t>
  </si>
  <si>
    <t xml:space="preserve">Lector RFID con antena y etiquetas para el juego de formato de la llenadora de vasos (interbloqueo de formato)</t>
  </si>
  <si>
    <t xml:space="preserve">XI-232F</t>
  </si>
  <si>
    <t xml:space="preserve">Licencias Microsoft: Windows Server Standard (3 servidores) y SQL Server Standard por núcleo (4 núcleos; el servidor de respaldo pasivo no requiere licencia adicional)</t>
  </si>
  <si>
    <t xml:space="preserve">Niveles 2, 3 y 3.5</t>
  </si>
  <si>
    <t xml:space="preserve">Lista Microsoft: SQL Server Standard 2 núcleos ≈ US$3.945 (×2); Windows Server Standard 16 núcleos ≈ US$1.176 (×3)</t>
  </si>
  <si>
    <t xml:space="preserve">Ignition Platform + SQL Bridge para el gateway de la DMZ (réplica de datos y servicios hacia SAP)</t>
  </si>
  <si>
    <t xml:space="preserve">Inductive Automation, Full Ignition Price List (Platform US$1.200 + SQL Bridge US$2.300)</t>
  </si>
  <si>
    <t xml:space="preserve">Integración de la celda robotizada por el integrador local: ingeniería mecánica de detalle, ensamble, cableado, programación base de los robots, FAT en taller e instalación en sitio</t>
  </si>
  <si>
    <t xml:space="preserve">≈ 28 % del hardware de la celda (rango habitual de integración 25–50 %); se cotiza dentro del contrato llave en mano de robots</t>
  </si>
  <si>
    <t xml:space="preserve">Total suministros (costo para Kuajo)</t>
  </si>
  <si>
    <t xml:space="preserve">Participación de precios publicados</t>
  </si>
  <si>
    <t xml:space="preserve">Participación de rangos publicados</t>
  </si>
  <si>
    <t xml:space="preserve">Participación de estimaciones</t>
  </si>
  <si>
    <t xml:space="preserve">Participación de los suministros cotizados en US$ (exposición cambiaria)</t>
  </si>
  <si>
    <t xml:space="preserve">Lista única de instrumentos, funciones de control y actuadores de la línea 1 (fuente de las tablas 12.1 y 12.2, del P&amp;ID 12.1 y de la figura 10.1)</t>
  </si>
  <si>
    <t xml:space="preserve">Tags según ISA-5.1: primera letra = variable; siguientes = función. Número = unidad (U-2xx). Los variadores toman el número del motor o la bomba que mueven. X = sin clasificar (lectores de código).</t>
  </si>
  <si>
    <t xml:space="preserve">Tag</t>
  </si>
  <si>
    <t xml:space="preserve">Variable y rango</t>
  </si>
  <si>
    <t xml:space="preserve">Señal</t>
  </si>
  <si>
    <t xml:space="preserve">Nuevo o existente</t>
  </si>
  <si>
    <t xml:space="preserve">Partida de Cotizaciones (#)</t>
  </si>
  <si>
    <t xml:space="preserve">FT-211</t>
  </si>
  <si>
    <t xml:space="preserve">Sensor</t>
  </si>
  <si>
    <t xml:space="preserve">Caudalímetro másico Coriolis</t>
  </si>
  <si>
    <t xml:space="preserve">U-211</t>
  </si>
  <si>
    <t xml:space="preserve">Caudal de leche, 0–30.000 kg/h</t>
  </si>
  <si>
    <t xml:space="preserve">4–20 mA HART</t>
  </si>
  <si>
    <t xml:space="preserve">Nuevo</t>
  </si>
  <si>
    <t xml:space="preserve">WT-211</t>
  </si>
  <si>
    <t xml:space="preserve">Celdas de carga del tanque de preparación</t>
  </si>
  <si>
    <t xml:space="preserve">Peso, 0–12.000 kg</t>
  </si>
  <si>
    <t xml:space="preserve">EtherNet/IP</t>
  </si>
  <si>
    <t xml:space="preserve">WT-212</t>
  </si>
  <si>
    <t xml:space="preserve">Celdas de carga de la tolva de polvos</t>
  </si>
  <si>
    <t xml:space="preserve">Peso, 0–2.000 kg</t>
  </si>
  <si>
    <t xml:space="preserve">LT-211</t>
  </si>
  <si>
    <t xml:space="preserve">Nivel por radar</t>
  </si>
  <si>
    <t xml:space="preserve">Nivel, 0–100 %</t>
  </si>
  <si>
    <t xml:space="preserve">4–20 mA</t>
  </si>
  <si>
    <t xml:space="preserve">TT-211</t>
  </si>
  <si>
    <t xml:space="preserve">Termorresistencia PT100</t>
  </si>
  <si>
    <t xml:space="preserve">Temperatura, 0–100 °C</t>
  </si>
  <si>
    <t xml:space="preserve">XI-211</t>
  </si>
  <si>
    <t xml:space="preserve">Lector de código de barras de lotes de polvos, azúcar y kits</t>
  </si>
  <si>
    <t xml:space="preserve">Código de lote</t>
  </si>
  <si>
    <t xml:space="preserve">FT-212</t>
  </si>
  <si>
    <t xml:space="preserve">Caudalímetro electromagnético del tren térmico</t>
  </si>
  <si>
    <t xml:space="preserve">U-212</t>
  </si>
  <si>
    <t xml:space="preserve">Caudal, 0–12.000 L/h</t>
  </si>
  <si>
    <t xml:space="preserve">TT-212A</t>
  </si>
  <si>
    <t xml:space="preserve">PT100 de calentamiento</t>
  </si>
  <si>
    <t xml:space="preserve">Temperatura, 0–150 °C</t>
  </si>
  <si>
    <t xml:space="preserve">Existente (PLC OEM) → PLC de línea</t>
  </si>
  <si>
    <t xml:space="preserve">TT-212B</t>
  </si>
  <si>
    <t xml:space="preserve">PT100 doble a la salida del tubo de retención (PCC 1)</t>
  </si>
  <si>
    <t xml:space="preserve">TR-212B</t>
  </si>
  <si>
    <t xml:space="preserve">Registrador sin papel del PCC 1</t>
  </si>
  <si>
    <t xml:space="preserve">Registro continuo de temperatura</t>
  </si>
  <si>
    <t xml:space="preserve">4–20 mA / EtherNet/IP</t>
  </si>
  <si>
    <t xml:space="preserve">TSL-212B</t>
  </si>
  <si>
    <t xml:space="preserve">Relé de temperatura baja del registrador, cableado directo a FDV-212</t>
  </si>
  <si>
    <t xml:space="preserve">Límite de pasteurización</t>
  </si>
  <si>
    <t xml:space="preserve">Digital cableado</t>
  </si>
  <si>
    <t xml:space="preserve">TT-212C</t>
  </si>
  <si>
    <t xml:space="preserve">PT100 de salida hacia el fermentador</t>
  </si>
  <si>
    <t xml:space="preserve">PT-212</t>
  </si>
  <si>
    <t xml:space="preserve">Presión de homogeneización</t>
  </si>
  <si>
    <t xml:space="preserve">Presión, 0–300 bar</t>
  </si>
  <si>
    <t xml:space="preserve">Nuevo (reemplaza el manómetro local)</t>
  </si>
  <si>
    <t xml:space="preserve">PDT-212</t>
  </si>
  <si>
    <t xml:space="preserve">Presión diferencial del regenerador</t>
  </si>
  <si>
    <t xml:space="preserve">±2 bar</t>
  </si>
  <si>
    <t xml:space="preserve">TT-221</t>
  </si>
  <si>
    <t xml:space="preserve">PT100 de incubación</t>
  </si>
  <si>
    <t xml:space="preserve">U-221</t>
  </si>
  <si>
    <t xml:space="preserve">AT-221</t>
  </si>
  <si>
    <t xml:space="preserve">Sensor de pH higiénico en línea</t>
  </si>
  <si>
    <t xml:space="preserve">pH, 2–12</t>
  </si>
  <si>
    <t xml:space="preserve">4 y 5</t>
  </si>
  <si>
    <t xml:space="preserve">WT-221</t>
  </si>
  <si>
    <t xml:space="preserve">Celdas de carga del fermentador</t>
  </si>
  <si>
    <t xml:space="preserve">LSL-221</t>
  </si>
  <si>
    <t xml:space="preserve">Interruptor de nivel bajo vibratorio</t>
  </si>
  <si>
    <t xml:space="preserve">Nivel mínimo</t>
  </si>
  <si>
    <t xml:space="preserve">Digital (IO-Link)</t>
  </si>
  <si>
    <t xml:space="preserve">XI-221</t>
  </si>
  <si>
    <t xml:space="preserve">Lector de código del lote de cultivo (puerto aséptico)</t>
  </si>
  <si>
    <t xml:space="preserve">TT-222</t>
  </si>
  <si>
    <t xml:space="preserve">U-222</t>
  </si>
  <si>
    <t xml:space="preserve">AT-222</t>
  </si>
  <si>
    <t xml:space="preserve">WT-222</t>
  </si>
  <si>
    <t xml:space="preserve">LSL-222</t>
  </si>
  <si>
    <t xml:space="preserve">XI-222</t>
  </si>
  <si>
    <t xml:space="preserve">TT-223</t>
  </si>
  <si>
    <t xml:space="preserve">U-223</t>
  </si>
  <si>
    <t xml:space="preserve">AT-223</t>
  </si>
  <si>
    <t xml:space="preserve">WT-223</t>
  </si>
  <si>
    <t xml:space="preserve">LSL-223</t>
  </si>
  <si>
    <t xml:space="preserve">XI-223</t>
  </si>
  <si>
    <t xml:space="preserve">TT-224</t>
  </si>
  <si>
    <t xml:space="preserve">U-224</t>
  </si>
  <si>
    <t xml:space="preserve">AT-224</t>
  </si>
  <si>
    <t xml:space="preserve">WT-224</t>
  </si>
  <si>
    <t xml:space="preserve">LSL-224</t>
  </si>
  <si>
    <t xml:space="preserve">XI-224</t>
  </si>
  <si>
    <t xml:space="preserve">Analizador NIR de proteína (AE/AT)</t>
  </si>
  <si>
    <t xml:space="preserve">U-228</t>
  </si>
  <si>
    <t xml:space="preserve">Proteína, 0–15 %</t>
  </si>
  <si>
    <t xml:space="preserve">FT-228</t>
  </si>
  <si>
    <t xml:space="preserve">Caudalímetro de suero ácido</t>
  </si>
  <si>
    <t xml:space="preserve">Caudal, 0–8.000 L/h</t>
  </si>
  <si>
    <t xml:space="preserve">TT-225</t>
  </si>
  <si>
    <t xml:space="preserve">PT100 de salida del enfriador</t>
  </si>
  <si>
    <t xml:space="preserve">U-225</t>
  </si>
  <si>
    <t xml:space="preserve">Temperatura, 0–50 °C</t>
  </si>
  <si>
    <t xml:space="preserve">LT-226</t>
  </si>
  <si>
    <t xml:space="preserve">Nivel por radar del pulmón</t>
  </si>
  <si>
    <t xml:space="preserve">U-226</t>
  </si>
  <si>
    <t xml:space="preserve">TT-226</t>
  </si>
  <si>
    <t xml:space="preserve">PT100 del pulmón</t>
  </si>
  <si>
    <t xml:space="preserve">TT-227</t>
  </si>
  <si>
    <t xml:space="preserve">PT100 de maduración</t>
  </si>
  <si>
    <t xml:space="preserve">U-227</t>
  </si>
  <si>
    <t xml:space="preserve">AT-227</t>
  </si>
  <si>
    <t xml:space="preserve">pH de maduración</t>
  </si>
  <si>
    <t xml:space="preserve">LT-227</t>
  </si>
  <si>
    <t xml:space="preserve">Nivel por radar del tanque de maduración</t>
  </si>
  <si>
    <t xml:space="preserve">FT-231</t>
  </si>
  <si>
    <t xml:space="preserve">Caudalímetro másico Coriolis del preparado de fruta</t>
  </si>
  <si>
    <t xml:space="preserve">U-231</t>
  </si>
  <si>
    <t xml:space="preserve">Caudal, 0–2.000 kg/h</t>
  </si>
  <si>
    <t xml:space="preserve">XI-231</t>
  </si>
  <si>
    <t xml:space="preserve">Lector de código del contenedor de fruta</t>
  </si>
  <si>
    <t xml:space="preserve">XI-232</t>
  </si>
  <si>
    <t xml:space="preserve">Lector de código de bobina, lámina y vasos</t>
  </si>
  <si>
    <t xml:space="preserve">U-232</t>
  </si>
  <si>
    <t xml:space="preserve">Lector RFID del juego de formato</t>
  </si>
  <si>
    <t xml:space="preserve">Pieza de formato</t>
  </si>
  <si>
    <t xml:space="preserve">XI-233</t>
  </si>
  <si>
    <t xml:space="preserve">Lector de código de botellas y tapas</t>
  </si>
  <si>
    <t xml:space="preserve">U-233</t>
  </si>
  <si>
    <t xml:space="preserve">WT-234</t>
  </si>
  <si>
    <t xml:space="preserve">U-234</t>
  </si>
  <si>
    <t xml:space="preserve">Peso por envase</t>
  </si>
  <si>
    <t xml:space="preserve">Detector de metales con rechazo (PCC 2)</t>
  </si>
  <si>
    <t xml:space="preserve">Contaminante metálico</t>
  </si>
  <si>
    <t xml:space="preserve">Digital</t>
  </si>
  <si>
    <t xml:space="preserve">Visión artificial (sello, lote y vencimiento)</t>
  </si>
  <si>
    <t xml:space="preserve">Imagen / OCR</t>
  </si>
  <si>
    <t xml:space="preserve">Conductividad del retorno del CIP</t>
  </si>
  <si>
    <t xml:space="preserve">CIP-200</t>
  </si>
  <si>
    <t xml:space="preserve">Concentración de soda o ácido</t>
  </si>
  <si>
    <t xml:space="preserve">6 y 7</t>
  </si>
  <si>
    <t xml:space="preserve">TT-201</t>
  </si>
  <si>
    <t xml:space="preserve">Temperatura del retorno del CIP</t>
  </si>
  <si>
    <t xml:space="preserve">0–100 °C</t>
  </si>
  <si>
    <t xml:space="preserve">FT-201</t>
  </si>
  <si>
    <t xml:space="preserve">Caudal del retorno del CIP</t>
  </si>
  <si>
    <t xml:space="preserve">0–30.000 L/h</t>
  </si>
  <si>
    <t xml:space="preserve">TIC-211</t>
  </si>
  <si>
    <t xml:space="preserve">Función en el PLC</t>
  </si>
  <si>
    <t xml:space="preserve">Control de precalentamiento (camisa de agua caliente)</t>
  </si>
  <si>
    <t xml:space="preserve">Lógica del PLC de línea</t>
  </si>
  <si>
    <t xml:space="preserve">20</t>
  </si>
  <si>
    <t xml:space="preserve">TIC-212</t>
  </si>
  <si>
    <t xml:space="preserve">Control de la temperatura de pasteurización</t>
  </si>
  <si>
    <t xml:space="preserve">FIC-212</t>
  </si>
  <si>
    <t xml:space="preserve">Control de caudal del tren (velocidad de P-212 con SC-212)</t>
  </si>
  <si>
    <t xml:space="preserve">TIC-212C</t>
  </si>
  <si>
    <t xml:space="preserve">Control de la temperatura de inoculación</t>
  </si>
  <si>
    <t xml:space="preserve">TIC-221</t>
  </si>
  <si>
    <t xml:space="preserve">Control de incubación en rango dividido (U-222 a U-224: TIC-222 a TIC-224)</t>
  </si>
  <si>
    <t xml:space="preserve">U-221 a U-224</t>
  </si>
  <si>
    <t xml:space="preserve">AI-221</t>
  </si>
  <si>
    <t xml:space="preserve">Indicación de pH y condición de fin de fase (U-222 a U-224: AI-222 a AI-224)</t>
  </si>
  <si>
    <t xml:space="preserve">AIC-228</t>
  </si>
  <si>
    <t xml:space="preserve">Control de la proteína del griego (ajuste del separador)</t>
  </si>
  <si>
    <t xml:space="preserve">TIC-225</t>
  </si>
  <si>
    <t xml:space="preserve">Control de la salida del enfriador</t>
  </si>
  <si>
    <t xml:space="preserve">TIC-227</t>
  </si>
  <si>
    <t xml:space="preserve">Control de la maduración</t>
  </si>
  <si>
    <t xml:space="preserve">FFIC-231</t>
  </si>
  <si>
    <t xml:space="preserve">Control de razón fruta : base 12 : 88</t>
  </si>
  <si>
    <t xml:space="preserve">XV-211A/B</t>
  </si>
  <si>
    <t xml:space="preserve">Actuador</t>
  </si>
  <si>
    <t xml:space="preserve">Válvulas de entrada de leche y descarga de U-211</t>
  </si>
  <si>
    <t xml:space="preserve">4–20 mA / IO-Link / EtherNet/IP</t>
  </si>
  <si>
    <t xml:space="preserve">XV-214</t>
  </si>
  <si>
    <t xml:space="preserve">Bypass del homogeneizador (Y2)</t>
  </si>
  <si>
    <t xml:space="preserve">XV-221A/B a XV-224A/B</t>
  </si>
  <si>
    <t xml:space="preserve">Válvulas de llenado y descarga de los fermentadores</t>
  </si>
  <si>
    <t xml:space="preserve">XV-226A/B</t>
  </si>
  <si>
    <t xml:space="preserve">Entrada y salida del pulmón</t>
  </si>
  <si>
    <t xml:space="preserve">XV-227A/B</t>
  </si>
  <si>
    <t xml:space="preserve">Entrada y salida del tanque de maduración</t>
  </si>
  <si>
    <t xml:space="preserve">XV-228A/B/C</t>
  </si>
  <si>
    <t xml:space="preserve">Alimentación del separador, salida de suero y bypass del separador (Y1 y Y3)</t>
  </si>
  <si>
    <t xml:space="preserve">TCV-211</t>
  </si>
  <si>
    <t xml:space="preserve">Válvula de control de agua caliente de la camisa</t>
  </si>
  <si>
    <t xml:space="preserve">TCV-212</t>
  </si>
  <si>
    <t xml:space="preserve">Válvula de control del agua caliente de E-212B</t>
  </si>
  <si>
    <t xml:space="preserve">TCV-212C</t>
  </si>
  <si>
    <t xml:space="preserve">Válvula de control del agua helada de E-212C</t>
  </si>
  <si>
    <t xml:space="preserve">TCV-221A/B a TCV-224A/B</t>
  </si>
  <si>
    <t xml:space="preserve">Agua caliente (A) y agua helada (B) de las camisas, rango dividido</t>
  </si>
  <si>
    <t xml:space="preserve">TCV-225</t>
  </si>
  <si>
    <t xml:space="preserve">Agua helada del enfriador</t>
  </si>
  <si>
    <t xml:space="preserve">TCV-227</t>
  </si>
  <si>
    <t xml:space="preserve">Agua helada de la camisa de maduración</t>
  </si>
  <si>
    <t xml:space="preserve">Válvula de desvío de flujo del PCC 1</t>
  </si>
  <si>
    <t xml:space="preserve">SC-211, SC-213</t>
  </si>
  <si>
    <t xml:space="preserve">Variadores del agitador M-211 y del mezclador M-213</t>
  </si>
  <si>
    <t xml:space="preserve">SC-212</t>
  </si>
  <si>
    <t xml:space="preserve">Variador de la bomba de alimentación P-212</t>
  </si>
  <si>
    <t xml:space="preserve">SC-220</t>
  </si>
  <si>
    <t xml:space="preserve">Variador de la bomba de descarga de fermentadores P-220</t>
  </si>
  <si>
    <t xml:space="preserve">Celda 220</t>
  </si>
  <si>
    <t xml:space="preserve">SC-221 a SC-224</t>
  </si>
  <si>
    <t xml:space="preserve">Variadores de los agitadores M-221 a M-224</t>
  </si>
  <si>
    <t xml:space="preserve">SC-226, SC-227</t>
  </si>
  <si>
    <t xml:space="preserve">Variadores de los agitadores M-226 y M-227</t>
  </si>
  <si>
    <t xml:space="preserve">U-226, U-227</t>
  </si>
  <si>
    <t xml:space="preserve">SC-231</t>
  </si>
  <si>
    <t xml:space="preserve">Variador de la bomba de fruta P-231</t>
  </si>
  <si>
    <t xml:space="preserve">M-212</t>
  </si>
  <si>
    <t xml:space="preserve">Válvula rotativa de polvos (arranque directo; dosifica por diferencia de peso WT-212)</t>
  </si>
  <si>
    <t xml:space="preserve">Existente</t>
  </si>
  <si>
    <t xml:space="preserve">M-214</t>
  </si>
  <si>
    <t xml:space="preserve">Homogeneizador (equipo existente, controlador propio)</t>
  </si>
  <si>
    <t xml:space="preserve">M-228</t>
  </si>
  <si>
    <t xml:space="preserve">Separador centrífugo (equipo existente, controlador propio)</t>
  </si>
  <si>
    <t xml:space="preserve">MX-231</t>
  </si>
  <si>
    <t xml:space="preserve">Mezclador estático de fruta en línea</t>
  </si>
  <si>
    <t xml:space="preserve">Instrumentos de campo (sensores)</t>
  </si>
  <si>
    <t xml:space="preserve">Funciones de control en el PLC</t>
  </si>
  <si>
    <t xml:space="preserve">Cronograma del proyecto con ruta crítica (método CPM) y diagrama de Gantt</t>
  </si>
  <si>
    <t xml:space="preserve">Duraciones en semanas. ES/EF = inicio/fin más temprano; LS/LF = inicio/fin más tardío. La ruta crítica tiene holgura 0.</t>
  </si>
  <si>
    <t xml:space="preserve">Fecha de inicio (firma del contrato)</t>
  </si>
  <si>
    <t xml:space="preserve">Semanas del proyecto →</t>
  </si>
  <si>
    <t xml:space="preserve">Código</t>
  </si>
  <si>
    <t xml:space="preserve">Actividad</t>
  </si>
  <si>
    <t xml:space="preserve">Responsable</t>
  </si>
  <si>
    <t xml:space="preserve">Duración (sem)</t>
  </si>
  <si>
    <t xml:space="preserve">Predecesoras</t>
  </si>
  <si>
    <t xml:space="preserve">ES</t>
  </si>
  <si>
    <t xml:space="preserve">EF</t>
  </si>
  <si>
    <t xml:space="preserve">LS</t>
  </si>
  <si>
    <t xml:space="preserve">LF</t>
  </si>
  <si>
    <t xml:space="preserve">Holgura</t>
  </si>
  <si>
    <t xml:space="preserve">Crítica</t>
  </si>
  <si>
    <t xml:space="preserve">Horas Kuajo</t>
  </si>
  <si>
    <t xml:space="preserve">Suministros (COP, costo)</t>
  </si>
  <si>
    <t xml:space="preserve">Valor planificado (COP, precio)</t>
  </si>
  <si>
    <t xml:space="preserve">Inicio</t>
  </si>
  <si>
    <t xml:space="preserve">Fin</t>
  </si>
  <si>
    <t xml:space="preserve">Desfase por nivelación (sem)</t>
  </si>
  <si>
    <t xml:space="preserve">Horas R1</t>
  </si>
  <si>
    <t xml:space="preserve">Horas R2</t>
  </si>
  <si>
    <t xml:space="preserve">Horas R3</t>
  </si>
  <si>
    <t xml:space="preserve">Horas R4</t>
  </si>
  <si>
    <t xml:space="preserve">Horas R5</t>
  </si>
  <si>
    <t xml:space="preserve">Horas R6</t>
  </si>
  <si>
    <t xml:space="preserve">Control (debe ser 0)</t>
  </si>
  <si>
    <t xml:space="preserve">h/sem R1</t>
  </si>
  <si>
    <t xml:space="preserve">h/sem R2</t>
  </si>
  <si>
    <t xml:space="preserve">h/sem R3</t>
  </si>
  <si>
    <t xml:space="preserve">h/sem R4</t>
  </si>
  <si>
    <t xml:space="preserve">h/sem R5</t>
  </si>
  <si>
    <t xml:space="preserve">h/sem R6</t>
  </si>
  <si>
    <t xml:space="preserve">1.1</t>
  </si>
  <si>
    <t xml:space="preserve">Acta de constitución y reunión de arranque</t>
  </si>
  <si>
    <t xml:space="preserve">R1 Duvan</t>
  </si>
  <si>
    <t xml:space="preserve">1.2</t>
  </si>
  <si>
    <t xml:space="preserve">Plan de proyecto PM4R (alcance, cronograma, costos, riesgos)</t>
  </si>
  <si>
    <t xml:space="preserve">1.3</t>
  </si>
  <si>
    <t xml:space="preserve">Seguimiento, control de cambios e informes (nivel de esfuerzo)</t>
  </si>
  <si>
    <t xml:space="preserve">2.1</t>
  </si>
  <si>
    <t xml:space="preserve">Levantamiento en planta y diagnóstico de la situación actual</t>
  </si>
  <si>
    <t xml:space="preserve">R3 David Felipe</t>
  </si>
  <si>
    <t xml:space="preserve">2.2</t>
  </si>
  <si>
    <t xml:space="preserve">VSM actual y línea base de KPIs</t>
  </si>
  <si>
    <t xml:space="preserve">R4 Juan</t>
  </si>
  <si>
    <t xml:space="preserve">2.3</t>
  </si>
  <si>
    <t xml:space="preserve">Arquitectura ISA-95 / ISA-88 y requerimientos</t>
  </si>
  <si>
    <t xml:space="preserve">R2 Paula</t>
  </si>
  <si>
    <t xml:space="preserve">2.4</t>
  </si>
  <si>
    <t xml:space="preserve">Hito: aprobación de la ingeniería conceptual</t>
  </si>
  <si>
    <t xml:space="preserve">2.2, 2.3</t>
  </si>
  <si>
    <t xml:space="preserve">3.1</t>
  </si>
  <si>
    <t xml:space="preserve">P&amp;ID, lista de instrumentos y hojas de datos</t>
  </si>
  <si>
    <t xml:space="preserve">R5 Jose Luis</t>
  </si>
  <si>
    <t xml:space="preserve">3.2</t>
  </si>
  <si>
    <t xml:space="preserve">Especificación funcional (FDS) y recetas ISA-88</t>
  </si>
  <si>
    <t xml:space="preserve">3.3</t>
  </si>
  <si>
    <t xml:space="preserve">Ingeniería eléctrica y diseño de tableros</t>
  </si>
  <si>
    <t xml:space="preserve">3.4</t>
  </si>
  <si>
    <t xml:space="preserve">Diseño de la celda robotizada, layout y solicitud de 3 ofertas (RFQ desde la semana 9, en paralelo)</t>
  </si>
  <si>
    <t xml:space="preserve">3.5</t>
  </si>
  <si>
    <t xml:space="preserve">Diseño de red OT/IT y ciberseguridad (ISA/IEC 62443)</t>
  </si>
  <si>
    <t xml:space="preserve">R6 Ian</t>
  </si>
  <si>
    <t xml:space="preserve">3.6</t>
  </si>
  <si>
    <t xml:space="preserve">Programación del PLC (fases ISA-88, Grafcet y Ladder)</t>
  </si>
  <si>
    <t xml:space="preserve">3.7</t>
  </si>
  <si>
    <t xml:space="preserve">Configuración del SCADA Ignition (HMI ISA-101)</t>
  </si>
  <si>
    <t xml:space="preserve">3.8</t>
  </si>
  <si>
    <t xml:space="preserve">Configuración del MES e interfaz con SAP</t>
  </si>
  <si>
    <t xml:space="preserve">3.9</t>
  </si>
  <si>
    <t xml:space="preserve">Programación de robots en RobotStudio</t>
  </si>
  <si>
    <t xml:space="preserve">4.1</t>
  </si>
  <si>
    <t xml:space="preserve">Solicitud de cotizaciones y órdenes de instrumentación y válvulas</t>
  </si>
  <si>
    <t xml:space="preserve">Fabricación y entrega de instrumentación, válvulas e inspección</t>
  </si>
  <si>
    <t xml:space="preserve">Orden, fabricación, importación, ensamble e integración de robots y celda</t>
  </si>
  <si>
    <t xml:space="preserve">Compra y entrega de PLC, E/S, red y servidores</t>
  </si>
  <si>
    <t xml:space="preserve">3.5, 3.3</t>
  </si>
  <si>
    <t xml:space="preserve">Fabricación de tableros eléctricos y de control</t>
  </si>
  <si>
    <t xml:space="preserve">Compra de licencias de software (Ignition y Sepasoft)</t>
  </si>
  <si>
    <t xml:space="preserve">5.1</t>
  </si>
  <si>
    <t xml:space="preserve">Gemelo digital de la línea de yogures</t>
  </si>
  <si>
    <t xml:space="preserve">5.2</t>
  </si>
  <si>
    <t xml:space="preserve">FAT virtual con Logix Emulate, Ignition y el gemelo</t>
  </si>
  <si>
    <t xml:space="preserve">3.6, 3.7, 5.1, 4.6</t>
  </si>
  <si>
    <t xml:space="preserve">5.3</t>
  </si>
  <si>
    <t xml:space="preserve">FAT de la celda robotizada en el taller del integrador (Bogotá)</t>
  </si>
  <si>
    <t xml:space="preserve">4.3, 3.9</t>
  </si>
  <si>
    <t xml:space="preserve">5.4</t>
  </si>
  <si>
    <t xml:space="preserve">Hito: aprobación de las pruebas FAT</t>
  </si>
  <si>
    <t xml:space="preserve">5.2, 5.3, 3.8</t>
  </si>
  <si>
    <t xml:space="preserve">Obras civiles menores y preparación del sitio</t>
  </si>
  <si>
    <t xml:space="preserve">Montaje mecánico, válvulas e instrumentación (parada)</t>
  </si>
  <si>
    <t xml:space="preserve">4.2, 5.4, 6.1</t>
  </si>
  <si>
    <t xml:space="preserve">Montaje eléctrico y tableros (parada)</t>
  </si>
  <si>
    <t xml:space="preserve">4.5, 5.4, 6.1</t>
  </si>
  <si>
    <t xml:space="preserve">Instalación de la celda robotizada</t>
  </si>
  <si>
    <t xml:space="preserve">5.3, 6.1</t>
  </si>
  <si>
    <t xml:space="preserve">Instalación de servidores, red y cableado</t>
  </si>
  <si>
    <t xml:space="preserve">7.1</t>
  </si>
  <si>
    <t xml:space="preserve">Pruebas en sitio (SAT): lazos, enclavamientos y secuencias</t>
  </si>
  <si>
    <t xml:space="preserve">6.2, 6.3, 6.4, 6.5</t>
  </si>
  <si>
    <t xml:space="preserve">7.2</t>
  </si>
  <si>
    <t xml:space="preserve">Lotes de prueba Y1, Y2 y Y3</t>
  </si>
  <si>
    <t xml:space="preserve">7.3</t>
  </si>
  <si>
    <t xml:space="preserve">Integración MES–SAP en productivo</t>
  </si>
  <si>
    <t xml:space="preserve">7.1, 3.8</t>
  </si>
  <si>
    <t xml:space="preserve">7.4</t>
  </si>
  <si>
    <t xml:space="preserve">Estabilización y medición de KPIs</t>
  </si>
  <si>
    <t xml:space="preserve">7.2, 7.3</t>
  </si>
  <si>
    <t xml:space="preserve">8.1</t>
  </si>
  <si>
    <t xml:space="preserve">Capacitación de operadores, mantenimiento y TI</t>
  </si>
  <si>
    <t xml:space="preserve">8.2</t>
  </si>
  <si>
    <t xml:space="preserve">Entrega de documentación, manuales y respaldo</t>
  </si>
  <si>
    <t xml:space="preserve">8.3</t>
  </si>
  <si>
    <t xml:space="preserve">Acta de entrega y cierre (lecciones aprendidas)</t>
  </si>
  <si>
    <t xml:space="preserve">8.2, 8.1</t>
  </si>
  <si>
    <t xml:space="preserve">Total del proyecto</t>
  </si>
  <si>
    <t xml:space="preserve">Duración total en meses</t>
  </si>
  <si>
    <t xml:space="preserve">Leyenda del Gantt: rojo = actividad crítica · azul = actividad con holgura · amarillo = hito</t>
  </si>
  <si>
    <t xml:space="preserve">Histograma de recursos: horas por semana de cada integrante (según el desfase de nivelación y el reparto de horas de las columnas BQ a BV)</t>
  </si>
  <si>
    <t xml:space="preserve">Total (h)</t>
  </si>
  <si>
    <t xml:space="preserve">Máx. h/sem</t>
  </si>
  <si>
    <t xml:space="preserve">% de 1.920 h</t>
  </si>
  <si>
    <t xml:space="preserve">Capacidad (6 × 42 h)</t>
  </si>
  <si>
    <t xml:space="preserve">Horas por encima de 42 h/semana (horas extra)</t>
  </si>
  <si>
    <t xml:space="preserve">Nivelación: las actividades con holgura se desplazan (columna Q) o se alargan dentro de su holgura, y las horas de cada paquete se reparten entre el responsable y los integrantes de apoyo (columnas BQ a BV). La carga del equipo no supera 254 h/semana (≈ 42 h por persona) y la duración sigue en 48 semanas.</t>
  </si>
  <si>
    <t xml:space="preserve">Paso hacia atrás: la columna I usa los sucesores escritos a mano (MIN de los LS de los sucesores), derivados de la columna de predecesoras; si se cambia una predecesora hay que actualizar también esa fórmula.</t>
  </si>
  <si>
    <t xml:space="preserve">Construcción del precio de la oferta de Kuajo Automation a Lácteos Pomar (Fase 1)</t>
  </si>
  <si>
    <t xml:space="preserve">Costo para Kuajo → precio de venta. Valores en COP sin IVA.</t>
  </si>
  <si>
    <t xml:space="preserve">Costo para Kuajo (COP)</t>
  </si>
  <si>
    <t xml:space="preserve">Precio para Pomar (COP)</t>
  </si>
  <si>
    <t xml:space="preserve">Equivalente (US$)</t>
  </si>
  <si>
    <t xml:space="preserve">Participación en el precio</t>
  </si>
  <si>
    <t xml:space="preserve">Cómo se calcula</t>
  </si>
  <si>
    <t xml:space="preserve">Suministro: Instrumentación</t>
  </si>
  <si>
    <t xml:space="preserve">Suma de la hoja Cotizaciones × (1 + margen sobre suministros)</t>
  </si>
  <si>
    <t xml:space="preserve">Suministro: Inspección</t>
  </si>
  <si>
    <t xml:space="preserve">Suministro: Válvulas y actuadores</t>
  </si>
  <si>
    <t xml:space="preserve">Suministro: Control</t>
  </si>
  <si>
    <t xml:space="preserve">Suministro: TI/OT</t>
  </si>
  <si>
    <t xml:space="preserve">Suministro: Robótica</t>
  </si>
  <si>
    <t xml:space="preserve">Suministro: Software</t>
  </si>
  <si>
    <t xml:space="preserve">Suministro: Obras y montaje locales</t>
  </si>
  <si>
    <t xml:space="preserve">Subtotal suministros</t>
  </si>
  <si>
    <t xml:space="preserve">Servicios de ingeniería, gestión, comisionamiento y capacitación (Kuajo)</t>
  </si>
  <si>
    <t xml:space="preserve">Costo = nómina del equipo; precio = horas del cronograma × tarifa</t>
  </si>
  <si>
    <t xml:space="preserve">Cubiertos por la tarifa de ingeniería</t>
  </si>
  <si>
    <t xml:space="preserve">Contingencia</t>
  </si>
  <si>
    <t xml:space="preserve">Contingencia × (suministros + ingeniería)</t>
  </si>
  <si>
    <t xml:space="preserve">Subtotal antes de póliza</t>
  </si>
  <si>
    <t xml:space="preserve">Póliza de cumplimiento y calidad</t>
  </si>
  <si>
    <t xml:space="preserve">El precio se ajusta para que la póliza quede cubierta</t>
  </si>
  <si>
    <t xml:space="preserve">PRECIO DE LA OFERTA (sin IVA)</t>
  </si>
  <si>
    <t xml:space="preserve">Costo total de Kuajo (columna B) vs. precio a Pomar (columna C)</t>
  </si>
  <si>
    <t xml:space="preserve">IVA 19 % (informativo; descontable para Pomar)</t>
  </si>
  <si>
    <t xml:space="preserve">Precio total con IVA</t>
  </si>
  <si>
    <t xml:space="preserve">Control: valor planificado del cronograma = precio</t>
  </si>
  <si>
    <t xml:space="preserve">Debe dar 0 (la curva S suma el precio)</t>
  </si>
  <si>
    <t xml:space="preserve">Margen bruto esperado de Kuajo (antes de ICA, GMF e impuestos)</t>
  </si>
  <si>
    <t xml:space="preserve">Precio − costos, con el 50 % de la contingencia sin consumir</t>
  </si>
  <si>
    <t xml:space="preserve">Base de depreciación para Pomar</t>
  </si>
  <si>
    <t xml:space="preserve">Precio asignado a TI y software (vida útil 5 años)</t>
  </si>
  <si>
    <t xml:space="preserve">Suministros de TI y software a precio, con contingencia y póliza</t>
  </si>
  <si>
    <t xml:space="preserve">Precio asignado a maquinaria, equipo e ingeniería capitalizable (10 años)</t>
  </si>
  <si>
    <t xml:space="preserve">Curva S del proyecto: valor planificado por mes (COP)</t>
  </si>
  <si>
    <t xml:space="preserve">Cada actividad reparte su valor planificado de forma uniforme entre sus semanas. Mes = 52/12 semanas.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</si>
  <si>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</si>
  <si>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</si>
  <si>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</si>
  <si>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</si>
  <si>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</si>
  <si>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</si>
  <si>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</si>
  <si>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</si>
  <si>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</si>
  <si>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</si>
  <si>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</si>
  <si>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</si>
  <si>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Diseño de la celda robotizada y layout de la línea</t>
  </si>
  <si>
    <t xml:space="preserve">Compra, fabricación, importación y ensamble de robots y celda</t>
  </si>
  <si>
    <t xml:space="preserve">Hito: acta de entrega y cierre (lecciones aprendidas)</t>
  </si>
  <si>
    <t xml:space="preserve">Valor planificado del mes</t>
  </si>
  <si>
    <t xml:space="preserve">Valor planificado acumulado</t>
  </si>
  <si>
    <t xml:space="preserve">% acumulado del presupuesto</t>
  </si>
  <si>
    <t xml:space="preserve">Control: total de la curva S − precio de la oferta (debe ser 0)</t>
  </si>
  <si>
    <t xml:space="preserve">Beneficios anuales y costos de operación (OPEX) para Lácteos Pomar — año 1 en precios de 2026</t>
  </si>
  <si>
    <t xml:space="preserve">Margen de contribución por kg calculado con las formulaciones del informe (sección 7.1) y precios de mercado.</t>
  </si>
  <si>
    <t xml:space="preserve">Margen de contribución por kg</t>
  </si>
  <si>
    <t xml:space="preserve">Y1 fresa</t>
  </si>
  <si>
    <t xml:space="preserve">Y2 griego</t>
  </si>
  <si>
    <t xml:space="preserve">Y3 kéfir</t>
  </si>
  <si>
    <t xml:space="preserve">Precio de referencia al consumidor (COP/kg)</t>
  </si>
  <si>
    <t xml:space="preserve">Y1: vaso de 150 g a ≈ $2.300. Y2: Alpina griego 1 kg $36.150 lista / $27.112 promoción (Euro Supermercados, oct. 2026); Pomar se ubica por debajo. Y3: Alpina yogur fresa 1 kg $14.400 (alpina.com) como techo. Estimaciones a validar con la lista de precios de Pomar.</t>
  </si>
  <si>
    <t xml:space="preserve">Margen del canal (distribuidor + supermercado)</t>
  </si>
  <si>
    <t xml:space="preserve">Supuesto típico del canal moderno en Colombia</t>
  </si>
  <si>
    <t xml:space="preserve">Precio ex-fábrica (COP/kg)</t>
  </si>
  <si>
    <t xml:space="preserve">Leche por kg de producto (kg/kg)</t>
  </si>
  <si>
    <t xml:space="preserve">Informe 7.1: Y1 8.600 kg de leche por 11.364 kg; Y2 10.000 por 3.054; Y3 10.000 por 9.800</t>
  </si>
  <si>
    <t xml:space="preserve">Costo relativo de la leche usada (1 = leche entera)</t>
  </si>
  <si>
    <t xml:space="preserve">Y2 usa leche descremada: la grasa retirada se vende como crema (supuesto 18 % de crédito)</t>
  </si>
  <si>
    <t xml:space="preserve">Costo de leche (COP/kg de producto)</t>
  </si>
  <si>
    <t xml:space="preserve">Leche/kg × costo relativo × precio de la leche × (1 + acopio) / 1,03 kg/L</t>
  </si>
  <si>
    <t xml:space="preserve">Otros ingredientes (COP/kg)</t>
  </si>
  <si>
    <t xml:space="preserve">Y1: leche en polvo 567, azúcar 292, almidón 103, pectina 105, cultivo 60, preparado de fresa 1.080 (12 % × $9.000/kg). Y2 y Y3: solo cultivo. Estimaciones de precios de insumos</t>
  </si>
  <si>
    <t xml:space="preserve">Envase y embalaje (COP/kg)</t>
  </si>
  <si>
    <t xml:space="preserve">Vaso + lámina + caja (Y1: $120 por vaso); vaso 500 g + tapa (Y2); botella PEAD 1 L + tapa + etiqueta (Y3). Estimaciones</t>
  </si>
  <si>
    <t xml:space="preserve">Energía, vapor, agua y CIP (COP/kg)</t>
  </si>
  <si>
    <t xml:space="preserve">Supuestos (costo de energía de la línea)</t>
  </si>
  <si>
    <t xml:space="preserve">Logística y gasto comercial variable (% del precio ex-fábrica)</t>
  </si>
  <si>
    <t xml:space="preserve">Supuesto: transporte refrigerado + fuerza de ventas</t>
  </si>
  <si>
    <t xml:space="preserve">Costo variable total (COP/kg)</t>
  </si>
  <si>
    <t xml:space="preserve">Margen de contribución (COP/kg)</t>
  </si>
  <si>
    <t xml:space="preserve">Margen de contribución (% del precio)</t>
  </si>
  <si>
    <t xml:space="preserve">Producción actual (kg/día)</t>
  </si>
  <si>
    <t xml:space="preserve">Supuestos: situación actual (informe, sección 6.1)</t>
  </si>
  <si>
    <t xml:space="preserve">Supuestos: situación futura (informe, sección 7.4)</t>
  </si>
  <si>
    <t xml:space="preserve">Volumen adicional (kg/día)</t>
  </si>
  <si>
    <t xml:space="preserve">Propuesta − actual; el mayor crecimiento es el griego (Y2)</t>
  </si>
  <si>
    <t xml:space="preserve">Participación en el volumen final</t>
  </si>
  <si>
    <t xml:space="preserve">Producción con la propuesta / total</t>
  </si>
  <si>
    <t xml:space="preserve">Margen de contribución ponderado (COP/kg)</t>
  </si>
  <si>
    <t xml:space="preserve">Costo variable ponderado (COP/kg)</t>
  </si>
  <si>
    <t xml:space="preserve">Precio ex-fábrica ponderado (COP/kg)</t>
  </si>
  <si>
    <t xml:space="preserve">Margen de contribución del volumen adicional (COP/día)</t>
  </si>
  <si>
    <t xml:space="preserve">Σ (kg adicionales de cada receta × su margen): el griego aporta la mayor parte por su margen alto</t>
  </si>
  <si>
    <t xml:space="preserve">Margen de contribución de la producción actual (COP/día)</t>
  </si>
  <si>
    <t xml:space="preserve">Ventas ex-fábrica del volumen adicional (COP/día)</t>
  </si>
  <si>
    <t xml:space="preserve">Beneficio anual (año 1, precios 2026)</t>
  </si>
  <si>
    <t xml:space="preserve">COP/año</t>
  </si>
  <si>
    <t xml:space="preserve">US$/año</t>
  </si>
  <si>
    <t xml:space="preserve">Cálculo y justificación</t>
  </si>
  <si>
    <t xml:space="preserve">Margen del volumen adicional atribuible a la automatización</t>
  </si>
  <si>
    <t xml:space="preserve">Σ (kg/día adicionales de cada receta × su margen) × 312 días × fracción atribuible a la automatización (50 %)</t>
  </si>
  <si>
    <t xml:space="preserve">Producto no rechazado (rechazo de 3 % a 1 %)</t>
  </si>
  <si>
    <t xml:space="preserve">Puntos de rechazo evitados × captura (75 %) × producción × costo variable ponderado</t>
  </si>
  <si>
    <t xml:space="preserve">Mano de obra de paletizado liberada</t>
  </si>
  <si>
    <t xml:space="preserve">6 operarios × (salario × factor prestacional + auxilio de transporte) × 12</t>
  </si>
  <si>
    <t xml:space="preserve">Ahorro de energía, vapor y agua por submedición</t>
  </si>
  <si>
    <t xml:space="preserve">Producción anual × costo de energía por kg × 3 %</t>
  </si>
  <si>
    <t xml:space="preserve">Retiros de producto acotados por trazabilidad</t>
  </si>
  <si>
    <t xml:space="preserve">Probabilidad anual × costo evitado por evento</t>
  </si>
  <si>
    <t xml:space="preserve">Ventas incrementales atribuibles (para capital de trabajo)</t>
  </si>
  <si>
    <t xml:space="preserve">OPEX anual agregado por la solución (año 1, precios 2026)</t>
  </si>
  <si>
    <t xml:space="preserve">Soporte y actualización de software (TotalCare)</t>
  </si>
  <si>
    <t xml:space="preserve">Inductive Automation y Sepasoft: TotalCare = 20 % anual del precio de lista</t>
  </si>
  <si>
    <t xml:space="preserve">Mantenimiento preventivo de robots (3 robots)</t>
  </si>
  <si>
    <t xml:space="preserve">Standard Bots 2026: contratos de servicio de US$3.000–7.000 por robot al año</t>
  </si>
  <si>
    <t xml:space="preserve">Calibración y mantenimiento de instrumentos</t>
  </si>
  <si>
    <t xml:space="preserve">3 % anual del valor de instrumentación e inspección (supuesto)</t>
  </si>
  <si>
    <t xml:space="preserve">Repuestos</t>
  </si>
  <si>
    <t xml:space="preserve">1,5 % anual de los equipos (supuesto)</t>
  </si>
  <si>
    <t xml:space="preserve">Contrato de soporte remoto y en sitio con Kuajo</t>
  </si>
  <si>
    <t xml:space="preserve">≈ 100 h/mes de soporte; ingreso recurrente para Kuajo</t>
  </si>
  <si>
    <t xml:space="preserve">Energía de robots, servidores y red</t>
  </si>
  <si>
    <t xml:space="preserve">20 kW promedio × 16 h × 312 días × $750/kWh (tarifa industrial estimada)</t>
  </si>
  <si>
    <t xml:space="preserve">Ingeniero de automatización de Pomar (administrador SCADA/MES)</t>
  </si>
  <si>
    <t xml:space="preserve">Indeed: ingeniero de automatización, promedio $3,27 M y máximo $5,59 M/mes; se toma $5,0 M</t>
  </si>
  <si>
    <t xml:space="preserve">Total OPEX anual</t>
  </si>
  <si>
    <t xml:space="preserve">Costos de Pomar en el año 0 (no capitalizables)</t>
  </si>
  <si>
    <t xml:space="preserve">Margen perdido durante la parada de montaje</t>
  </si>
  <si>
    <t xml:space="preserve">12 días × margen de la producción actual (43.700 kg/día) × 50 % no compensado con inventario</t>
  </si>
  <si>
    <t xml:space="preserve">Costo interno de Pomar (líder, TI, calidad)</t>
  </si>
  <si>
    <t xml:space="preserve">Flujo de caja incremental de Lácteos Pomar y evaluación financiera (COP nominales)</t>
  </si>
  <si>
    <t xml:space="preserve">Año 0 = año de implementación (2027). Los beneficios y el OPEX crecen con la inflación esperada.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</si>
  <si>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</si>
  <si>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</si>
  <si>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</si>
  <si>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</si>
  <si>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</si>
  <si>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</si>
  <si>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</si>
  <si>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</si>
  <si>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Año</t>
  </si>
  <si>
    <t xml:space="preserve">Factor de inflación</t>
  </si>
  <si>
    <t xml:space="preserve">Factor de captura de beneficios</t>
  </si>
  <si>
    <t xml:space="preserve">Margen del volumen adicional</t>
  </si>
  <si>
    <t xml:space="preserve">Ahorro de energía</t>
  </si>
  <si>
    <t xml:space="preserve">Retiros acotados</t>
  </si>
  <si>
    <t xml:space="preserve">Total beneficios</t>
  </si>
  <si>
    <t xml:space="preserve">OPEX (−)</t>
  </si>
  <si>
    <t xml:space="preserve">EBITDA</t>
  </si>
  <si>
    <t xml:space="preserve">Depreciación equipo (10 años)</t>
  </si>
  <si>
    <t xml:space="preserve">Depreciación TI y software (5 años)</t>
  </si>
  <si>
    <t xml:space="preserve">Utilidad operativa (EBIT)</t>
  </si>
  <si>
    <t xml:space="preserve">Impuesto de renta (−)</t>
  </si>
  <si>
    <t xml:space="preserve">Utilidad operativa después de impuestos</t>
  </si>
  <si>
    <t xml:space="preserve">+ Depreciación (se suma de vuelta: no es salida de caja)</t>
  </si>
  <si>
    <t xml:space="preserve">Inversión: precio del contrato (−)</t>
  </si>
  <si>
    <t xml:space="preserve">Costos del año 0 después de impuestos (−)</t>
  </si>
  <si>
    <t xml:space="preserve">Capital de trabajo requerido</t>
  </si>
  <si>
    <t xml:space="preserve">Variación del capital de trabajo (−)</t>
  </si>
  <si>
    <t xml:space="preserve">Flujo de caja libre</t>
  </si>
  <si>
    <t xml:space="preserve">Flujo acumulado</t>
  </si>
  <si>
    <t xml:space="preserve">Flujo descontado a la TIO</t>
  </si>
  <si>
    <t xml:space="preserve">Flujo descontado acumulado</t>
  </si>
  <si>
    <t xml:space="preserve">Indicadores de decisión para Pomar</t>
  </si>
  <si>
    <t xml:space="preserve">Tasa de oportunidad (TIO)</t>
  </si>
  <si>
    <t xml:space="preserve">Valor presente neto (VPN)</t>
  </si>
  <si>
    <t xml:space="preserve">VPN en US$</t>
  </si>
  <si>
    <t xml:space="preserve">Tasa interna de retorno (TIR)</t>
  </si>
  <si>
    <t xml:space="preserve">Periodo de recuperación simple (años)</t>
  </si>
  <si>
    <t xml:space="preserve">Periodo de recuperación descontado (años)</t>
  </si>
  <si>
    <t xml:space="preserve">Relación beneficio/costo (VP de flujos años 1–7 / inversión neta de impuestos del año 0)</t>
  </si>
  <si>
    <t xml:space="preserve">Inversión total año 0 (precio + costos internos y de parada)</t>
  </si>
  <si>
    <t xml:space="preserve">Inversión como % de los ingresos 2022 de Pomar ($284.919 millones)</t>
  </si>
  <si>
    <t xml:space="preserve">Criterio: el proyecto conviene si VPN &gt; 0, TIR &gt; TIO y la recuperación es menor al horizonte. Ingresos de Pomar 2022: Las2orillas.</t>
  </si>
  <si>
    <t xml:space="preserve">Relación beneficio/costo sobre la inversión total declarada (precio + parada + costo interno, antes de impuestos)</t>
  </si>
  <si>
    <t xml:space="preserve">Kuajo Automation: estado de resultados del proyecto y flujo de caja mensual (COP)</t>
  </si>
  <si>
    <t xml:space="preserve">Mes 0 = firma del contrato. Cada hito (también el anticipo) se cobra 30 días después de aprobado y facturado, neto de la retención en la fuente. Los pagos a proveedores se hacen 50 % al pedir y 50 % a la entrega. Los meses con saldo negativo usan el crédito rotativo (Supuestos).</t>
  </si>
  <si>
    <t xml:space="preserve">Hito de pago del cliente</t>
  </si>
  <si>
    <t xml:space="preserve">Actividad que lo dispara</t>
  </si>
  <si>
    <t xml:space="preserve">% del precio</t>
  </si>
  <si>
    <t xml:space="preserve">Mes</t>
  </si>
  <si>
    <t xml:space="preserve">Valor (COP)</t>
  </si>
  <si>
    <t xml:space="preserve">Mes de cobro</t>
  </si>
  <si>
    <t xml:space="preserve">Anticipo a la firma del contrato</t>
  </si>
  <si>
    <t xml:space="preserve">Aprobación de la ingeniería conceptual</t>
  </si>
  <si>
    <t xml:space="preserve">Aprobación de la ingeniería de detalle y emisión de órdenes de compra</t>
  </si>
  <si>
    <t xml:space="preserve">Llegada de robots y equipos a planta</t>
  </si>
  <si>
    <t xml:space="preserve">Aprobación de las pruebas FAT</t>
  </si>
  <si>
    <t xml:space="preserve">Acta de entrega y cierre</t>
  </si>
  <si>
    <t xml:space="preserve">Pago a proveedores</t>
  </si>
  <si>
    <t xml:space="preserve">Costo (COP)</t>
  </si>
  <si>
    <t xml:space="preserve">Mes del pedido (50 %)</t>
  </si>
  <si>
    <t xml:space="preserve">Mes de entrega (50 %)</t>
  </si>
  <si>
    <t xml:space="preserve">Total suministros</t>
  </si>
  <si>
    <t xml:space="preserve">Control: total suministros − hoja Cotizaciones (debe ser 0)</t>
  </si>
  <si>
    <t xml:space="preserve">Flujo de caja mensual</t>
  </si>
  <si>
    <t xml:space="preserve">Mes 0</t>
  </si>
  <si>
    <t xml:space="preserve">Mes 13</t>
  </si>
  <si>
    <t xml:space="preserve">Cobros de hitos (30 días después del hito)</t>
  </si>
  <si>
    <t xml:space="preserve">Retención en la fuente (−)</t>
  </si>
  <si>
    <t xml:space="preserve">Pagos a proveedores (−)</t>
  </si>
  <si>
    <t xml:space="preserve">Nómina del equipo (−)</t>
  </si>
  <si>
    <t xml:space="preserve">Gastos generales mensuales (−)</t>
  </si>
  <si>
    <t xml:space="preserve">Gastos únicos: equipos y licencias (−)</t>
  </si>
  <si>
    <t xml:space="preserve">Póliza de cumplimiento (−)</t>
  </si>
  <si>
    <t xml:space="preserve">Contingencia consumida (−)</t>
  </si>
  <si>
    <t xml:space="preserve">ICA (−)</t>
  </si>
  <si>
    <t xml:space="preserve">GMF 4×1000 (−)</t>
  </si>
  <si>
    <t xml:space="preserve">Intereses del crédito rotativo (−)</t>
  </si>
  <si>
    <t xml:space="preserve">Impuesto de renta neto de retenciones (−)</t>
  </si>
  <si>
    <t xml:space="preserve">Flujo neto</t>
  </si>
  <si>
    <t xml:space="preserve">Saldo acumulado (negativo = uso del crédito rotativo)</t>
  </si>
  <si>
    <t xml:space="preserve">Estado de resultados del proyecto</t>
  </si>
  <si>
    <t xml:space="preserve">Ingresos (precio del contrato)</t>
  </si>
  <si>
    <t xml:space="preserve">Costo de suministros (−)</t>
  </si>
  <si>
    <t xml:space="preserve">Utilidad bruta</t>
  </si>
  <si>
    <t xml:space="preserve">Gastos generales (−)</t>
  </si>
  <si>
    <t xml:space="preserve">Póliza (−)</t>
  </si>
  <si>
    <t xml:space="preserve">Contingencia consumida, incluidas las horas extra (−)</t>
  </si>
  <si>
    <t xml:space="preserve">ICA y GMF (−)</t>
  </si>
  <si>
    <t xml:space="preserve">Gastos financieros del crédito rotativo (−)</t>
  </si>
  <si>
    <t xml:space="preserve">Utilidad antes de impuestos</t>
  </si>
  <si>
    <t xml:space="preserve">Impuesto de renta 35 % (−)</t>
  </si>
  <si>
    <t xml:space="preserve">Utilidad neta</t>
  </si>
  <si>
    <t xml:space="preserve">Margen neto sobre el contrato</t>
  </si>
  <si>
    <t xml:space="preserve">Indicadores para Kuajo</t>
  </si>
  <si>
    <t xml:space="preserve">Tasa de oportunidad mensual</t>
  </si>
  <si>
    <t xml:space="preserve">VPN del proyecto a la TIO de Kuajo (20 % EA)</t>
  </si>
  <si>
    <t xml:space="preserve">Saldo de caja mínimo durante el proyecto</t>
  </si>
  <si>
    <t xml:space="preserve">Uso máximo del crédito rotativo</t>
  </si>
  <si>
    <t xml:space="preserve">Holgura del cupo del crédito rotativo</t>
  </si>
  <si>
    <t xml:space="preserve">Meses con saldo negativo</t>
  </si>
  <si>
    <t xml:space="preserve">Utilidad neta por integrante (dividendo potencial, además del salario)</t>
  </si>
  <si>
    <t xml:space="preserve">Ingreso anual recurrente del contrato de soporte</t>
  </si>
  <si>
    <t xml:space="preserve">Margen anual del soporte (costo: 0,6 ingenieros)</t>
  </si>
  <si>
    <t xml:space="preserve">Nota: con cobro a 30 días el anticipo llega en el mes 1 y las compras de los meses 3 a 8 se pagan antes de cobrar los hitos de llegada y FAT. Kuajo necesita un crédito rotativo de capital de trabajo (cupo en Supuestos); sus intereses se restan de la utilidad. La retención en la fuente se descuenta del impuesto de renta al liquidarlo (mes 13). El IVA se cobra en cada factura y se declara bimestralmente; no cambia la utilidad.</t>
  </si>
  <si>
    <t xml:space="preserve">Análisis de sensibilidad del VPN y la TIR de Pomar</t>
  </si>
  <si>
    <t xml:space="preserve">Cada escenario multiplica beneficios, inversión y OPEX del caso base y recalcula el flujo después de impuestos.</t>
  </si>
  <si>
    <t xml:space="preserve">Escenario</t>
  </si>
  <si>
    <t xml:space="preserve">Factor beneficios</t>
  </si>
  <si>
    <t xml:space="preserve">Factor inversión</t>
  </si>
  <si>
    <t xml:space="preserve">Factor OPEX</t>
  </si>
  <si>
    <t xml:space="preserve">Flujo año 0</t>
  </si>
  <si>
    <t xml:space="preserve">Flujo año 1</t>
  </si>
  <si>
    <t xml:space="preserve">Flujo año 2</t>
  </si>
  <si>
    <t xml:space="preserve">Flujo año 3</t>
  </si>
  <si>
    <t xml:space="preserve">Flujo año 4</t>
  </si>
  <si>
    <t xml:space="preserve">Flujo año 5</t>
  </si>
  <si>
    <t xml:space="preserve">Flujo año 6</t>
  </si>
  <si>
    <t xml:space="preserve">Flujo año 7</t>
  </si>
  <si>
    <t xml:space="preserve">VPN (COP)</t>
  </si>
  <si>
    <t xml:space="preserve">Conclusión</t>
  </si>
  <si>
    <t xml:space="preserve">Caso base</t>
  </si>
  <si>
    <t xml:space="preserve">Beneficios −30 %</t>
  </si>
  <si>
    <t xml:space="preserve">Beneficios −50 %</t>
  </si>
  <si>
    <t xml:space="preserve">Inversión +20 %</t>
  </si>
  <si>
    <t xml:space="preserve">TRM +15 % (inversión × (1 + 15 % × parte del precio en US$))</t>
  </si>
  <si>
    <t xml:space="preserve">OPEX +30 %</t>
  </si>
  <si>
    <t xml:space="preserve">Pesimista combinado</t>
  </si>
  <si>
    <t xml:space="preserve">Optimista</t>
  </si>
  <si>
    <t xml:space="preserve">Solo beneficios de eficiencia (sin el margen del volumen adicional)</t>
  </si>
  <si>
    <t xml:space="preserve">Control: VPN del caso base − VPN de Flujo_Pomar (debe ser 0)</t>
  </si>
  <si>
    <t xml:space="preserve">Factor de beneficios de equilibrio (VPN = 0)</t>
  </si>
  <si>
    <t xml:space="preserve">El VPN es lineal en el factor de beneficios: f* = −VPN(f=0)/pendiente. Debajo de este nivel de beneficios el proyecto deja de convenir.</t>
  </si>
  <si>
    <t xml:space="preserve">Sensibilidad a la tasa de descuento (H19: Ke en pesos menor que Kd; se muestra el VPN con TIO más altas)</t>
  </si>
  <si>
    <t xml:space="preserve">VPN con TIO de 16 %</t>
  </si>
  <si>
    <t xml:space="preserve">VPN con TIO de 18 %</t>
  </si>
  <si>
    <t xml:space="preserve">VPN con TIO de 20 %</t>
  </si>
  <si>
    <t xml:space="preserve">Estructura desglosada del trabajo (EDT) — Implementación TDI de la línea de yogures, Planta Cajicá</t>
  </si>
  <si>
    <t xml:space="preserve">Nivel 1 = proyecto · nivel 2 = entregables principales · nivel 3 = paquetes de trabajo (ver Cronograma).</t>
  </si>
  <si>
    <t xml:space="preserve">Nivel</t>
  </si>
  <si>
    <t xml:space="preserve">Elemento de la EDT</t>
  </si>
  <si>
    <t xml:space="preserve">Entregable o criterio de aceptación</t>
  </si>
  <si>
    <t xml:space="preserve">Valor planificado (COP)</t>
  </si>
  <si>
    <t xml:space="preserve">% del presupuesto</t>
  </si>
  <si>
    <t xml:space="preserve">Implementación TDI de la línea de yogures y plataforma de planta (Fase 1)</t>
  </si>
  <si>
    <t xml:space="preserve">Solución operando con OEE ≥ 75 % sostenido y acta de entrega</t>
  </si>
  <si>
    <t xml:space="preserve">Gestión del proyecto</t>
  </si>
  <si>
    <t xml:space="preserve">Acta, plan PM4R, informes mensuales, control de cambios y acta de cierre</t>
  </si>
  <si>
    <t xml:space="preserve">    Acta de constitución y reunión de arranque</t>
  </si>
  <si>
    <t xml:space="preserve">Ver criterio del entregable de nivel 2</t>
  </si>
  <si>
    <t xml:space="preserve">    Plan de proyecto PM4R (alcance, cronograma, costos, riesgos)</t>
  </si>
  <si>
    <t xml:space="preserve">    Seguimiento, control de cambios e informes (nivel de esfuerzo)</t>
  </si>
  <si>
    <t xml:space="preserve">Ingeniería conceptual</t>
  </si>
  <si>
    <t xml:space="preserve">Diagnóstico, VSM actual, KPIs base y arquitectura ISA-95/88 aprobados por Pomar</t>
  </si>
  <si>
    <t xml:space="preserve">    Levantamiento en planta y diagnóstico de la situación actual</t>
  </si>
  <si>
    <t xml:space="preserve">    VSM actual y línea base de KPIs</t>
  </si>
  <si>
    <t xml:space="preserve">    Arquitectura ISA-95 / ISA-88 y requerimientos</t>
  </si>
  <si>
    <t xml:space="preserve">    Hito: aprobación de la ingeniería conceptual</t>
  </si>
  <si>
    <t xml:space="preserve">Hito de aprobación firmado por Pomar</t>
  </si>
  <si>
    <t xml:space="preserve">Ingeniería básica y de detalle</t>
  </si>
  <si>
    <t xml:space="preserve">P&amp;ID, FDS, planos eléctricos, programas de PLC, SCADA, MES y robots revisados</t>
  </si>
  <si>
    <t xml:space="preserve">    P&amp;ID, lista de instrumentos y hojas de datos</t>
  </si>
  <si>
    <t xml:space="preserve">    Especificación funcional (FDS) y recetas ISA-88</t>
  </si>
  <si>
    <t xml:space="preserve">    Ingeniería eléctrica y diseño de tableros</t>
  </si>
  <si>
    <t xml:space="preserve">    Diseño de la celda robotizada, layout y solicitud de 3 ofertas</t>
  </si>
  <si>
    <t xml:space="preserve">    Diseño de red OT/IT y ciberseguridad (ISA/IEC 62443)</t>
  </si>
  <si>
    <t xml:space="preserve">    Programación del PLC (fases ISA-88, Grafcet y Ladder)</t>
  </si>
  <si>
    <t xml:space="preserve">    Configuración del SCADA Ignition (HMI ISA-101)</t>
  </si>
  <si>
    <t xml:space="preserve">    Configuración del MES e interfaz con SAP</t>
  </si>
  <si>
    <t xml:space="preserve">    Programación de robots en RobotStudio</t>
  </si>
  <si>
    <t xml:space="preserve">Equipos, licencias y tableros recibidos en planta con certificados</t>
  </si>
  <si>
    <t xml:space="preserve">    Solicitud de cotizaciones y órdenes de instrumentación y válvulas</t>
  </si>
  <si>
    <t xml:space="preserve">    Fabricación y entrega de instrumentación, válvulas e inspección</t>
  </si>
  <si>
    <t xml:space="preserve">    Orden, fabricación, importación, ensamble e integración de robots y celda</t>
  </si>
  <si>
    <t xml:space="preserve">    Compra y entrega de PLC, E/S, red y servidores</t>
  </si>
  <si>
    <t xml:space="preserve">    Fabricación de tableros eléctricos y de control</t>
  </si>
  <si>
    <t xml:space="preserve">    Compra de licencias de software (Ignition y Sepasoft)</t>
  </si>
  <si>
    <t xml:space="preserve">Comisionamiento virtual</t>
  </si>
  <si>
    <t xml:space="preserve">Gemelo digital y FAT virtual y de celda aprobados (las 3 recetas corren sin errores)</t>
  </si>
  <si>
    <t xml:space="preserve">    Gemelo digital de la línea de yogures</t>
  </si>
  <si>
    <t xml:space="preserve">    FAT virtual con Logix Emulate, Ignition y el gemelo</t>
  </si>
  <si>
    <t xml:space="preserve">    FAT de la celda robotizada en el taller del integrador (Bogotá)</t>
  </si>
  <si>
    <t xml:space="preserve">    Hito: aprobación de las pruebas FAT</t>
  </si>
  <si>
    <t xml:space="preserve">Montaje e instalación</t>
  </si>
  <si>
    <t xml:space="preserve">Equipos instalados en la parada de 2 semanas; checklist de montaje firmado</t>
  </si>
  <si>
    <t xml:space="preserve">    Obras civiles menores y preparación del sitio</t>
  </si>
  <si>
    <t xml:space="preserve">    Montaje mecánico, válvulas e instrumentación (parada)</t>
  </si>
  <si>
    <t xml:space="preserve">    Montaje eléctrico y tableros (parada)</t>
  </si>
  <si>
    <t xml:space="preserve">    Instalación de la celda robotizada</t>
  </si>
  <si>
    <t xml:space="preserve">    Instalación de servidores, red y cableado</t>
  </si>
  <si>
    <t xml:space="preserve">Pruebas y puesta en marcha</t>
  </si>
  <si>
    <t xml:space="preserve">SAT aprobado, lotes conformes de Y1, Y2 y Y3, integración con SAP en productivo y KPIs medidos</t>
  </si>
  <si>
    <t xml:space="preserve">    Pruebas en sitio (SAT): lazos, enclavamientos y secuencias</t>
  </si>
  <si>
    <t xml:space="preserve">    Lotes de prueba Y1, Y2 y Y3</t>
  </si>
  <si>
    <t xml:space="preserve">    Integración MES–SAP en productivo</t>
  </si>
  <si>
    <t xml:space="preserve">    Estabilización y medición de KPIs</t>
  </si>
  <si>
    <t xml:space="preserve">8</t>
  </si>
  <si>
    <t xml:space="preserve">Capacitación y cierre</t>
  </si>
  <si>
    <t xml:space="preserve">Personal capacitado, manuales entregados y acta de cierre firmada</t>
  </si>
  <si>
    <t xml:space="preserve">    Capacitación de operadores, mantenimiento y TI</t>
  </si>
  <si>
    <t xml:space="preserve">    Entrega de documentación, manuales y respaldo</t>
  </si>
  <si>
    <t xml:space="preserve">    Acta de entrega y cierre (lecciones aprendidas)</t>
  </si>
  <si>
    <t xml:space="preserve">Matriz de riesgos del proyecto (PM4R)</t>
  </si>
  <si>
    <t xml:space="preserve">Probabilidad e impacto en escala 1–5. Nivel = P × I (alto ≥ 15, medio 8–14, bajo &lt; 8). El valor esperado de los riesgos de Kuajo se compara con la contingencia.</t>
  </si>
  <si>
    <t xml:space="preserve">ID</t>
  </si>
  <si>
    <t xml:space="preserve">Riesgo</t>
  </si>
  <si>
    <t xml:space="preserve">Causa</t>
  </si>
  <si>
    <t xml:space="preserve">Consecuencia</t>
  </si>
  <si>
    <t xml:space="preserve">Afecta a</t>
  </si>
  <si>
    <t xml:space="preserve">Prob. (1–5)</t>
  </si>
  <si>
    <t xml:space="preserve">Impacto (1–5)</t>
  </si>
  <si>
    <t xml:space="preserve">Zona</t>
  </si>
  <si>
    <t xml:space="preserve">Prob. (%)</t>
  </si>
  <si>
    <t xml:space="preserve">Impacto (COP)</t>
  </si>
  <si>
    <t xml:space="preserve">Valor esperado (COP)</t>
  </si>
  <si>
    <t xml:space="preserve">Estrategia</t>
  </si>
  <si>
    <t xml:space="preserve">Respuesta planificada</t>
  </si>
  <si>
    <t xml:space="preserve">Disparador</t>
  </si>
  <si>
    <t xml:space="preserve">R1</t>
  </si>
  <si>
    <t xml:space="preserve">Retraso en la entrega de robots importados</t>
  </si>
  <si>
    <t xml:space="preserve">Tiempos de fabricación y aduana de 16–20 semanas</t>
  </si>
  <si>
    <t xml:space="preserve">Corre la ruta crítica: se aplaza la parada y la entrega</t>
  </si>
  <si>
    <t xml:space="preserve">Kuajo</t>
  </si>
  <si>
    <t xml:space="preserve">Mitigar</t>
  </si>
  <si>
    <t xml:space="preserve">Solicitud de 3 ofertas desde la semana 9 (en paralelo al diseño), orden en la semana 11, FAT en el taller del integrador y cláusula de penalidad con el proveedor</t>
  </si>
  <si>
    <t xml:space="preserve">Fecha de despacho confirmada &gt; semana 29</t>
  </si>
  <si>
    <t xml:space="preserve">R2</t>
  </si>
  <si>
    <t xml:space="preserve">Devaluación del peso (TRM)</t>
  </si>
  <si>
    <t xml:space="preserve">Volatilidad cambiaria; la mayor parte de los suministros se compra en US$</t>
  </si>
  <si>
    <t xml:space="preserve">Aumenta el costo de los suministros importados</t>
  </si>
  <si>
    <t xml:space="preserve">Transferir</t>
  </si>
  <si>
    <t xml:space="preserve">Cláusula de ajuste del precio de los suministros cotizados en US$ (equipos importados y licencias) si la TRM varía más de 5 % frente a la de la oferta; Kuajo absorbe la banda de ±5 % (≈ 1/3 del impacto)</t>
  </si>
  <si>
    <t xml:space="preserve">TRM &gt; 3.437 (≈ +5 %)</t>
  </si>
  <si>
    <t xml:space="preserve">R3</t>
  </si>
  <si>
    <t xml:space="preserve">Parada de montaje más larga de 2 semanas</t>
  </si>
  <si>
    <t xml:space="preserve">Interferencias en sitio o fallas de equipos al instalar</t>
  </si>
  <si>
    <t xml:space="preserve">Pérdida de producción para Pomar y multa contractual</t>
  </si>
  <si>
    <t xml:space="preserve">Ambos</t>
  </si>
  <si>
    <t xml:space="preserve">Comisionamiento virtual antes de la parada, tableros pre-probados, plan día a día y equipo extra en turnos</t>
  </si>
  <si>
    <t xml:space="preserve">Avance de montaje &lt; 50 % al día 6</t>
  </si>
  <si>
    <t xml:space="preserve">R4</t>
  </si>
  <si>
    <t xml:space="preserve">Integración MES–SAP más compleja de lo previsto</t>
  </si>
  <si>
    <t xml:space="preserve">Versión y personalizaciones de SAP de Pomar</t>
  </si>
  <si>
    <t xml:space="preserve">Retraso de la integración y horas adicionales</t>
  </si>
  <si>
    <t xml:space="preserve">Módulo Interface for SAP de Sepasoft y mesa técnica con TI de Pomar desde la semana 3</t>
  </si>
  <si>
    <t xml:space="preserve">Mapa de mensajes no aprobado en la semana 12</t>
  </si>
  <si>
    <t xml:space="preserve">R5</t>
  </si>
  <si>
    <t xml:space="preserve">Resistencia al cambio de operadores y supervisores</t>
  </si>
  <si>
    <t xml:space="preserve">Hábitos de registro en papel y temor a perder el puesto</t>
  </si>
  <si>
    <t xml:space="preserve">Uso parcial del sistema; no se capturan los KPIs</t>
  </si>
  <si>
    <t xml:space="preserve">Pomar</t>
  </si>
  <si>
    <t xml:space="preserve">Operadores clave en el FAT, HMI ISA-101 sencilla, capacitación práctica y reubicación (no despido) de operarios de paletizado</t>
  </si>
  <si>
    <t xml:space="preserve">Uso de la HMI &lt; 80 % de los lotes en el mes 1</t>
  </si>
  <si>
    <t xml:space="preserve">R6</t>
  </si>
  <si>
    <t xml:space="preserve">Recetas mal parametrizadas en el arranque</t>
  </si>
  <si>
    <t xml:space="preserve">Errores de datos en recetas maestras</t>
  </si>
  <si>
    <t xml:space="preserve">Lotes no conformes y producto perdido</t>
  </si>
  <si>
    <t xml:space="preserve">Validación de las 3 recetas en el gemelo digital, lotes de prueba con agua y luego con producto, doble firma de recetas</t>
  </si>
  <si>
    <t xml:space="preserve">Lote de prueba fuera de especificación</t>
  </si>
  <si>
    <t xml:space="preserve">R7</t>
  </si>
  <si>
    <t xml:space="preserve">Brecha de ciberseguridad OT</t>
  </si>
  <si>
    <t xml:space="preserve">Conexión de la planta con la red corporativa y accesos remotos</t>
  </si>
  <si>
    <t xml:space="preserve">Paradas o alteración de recetas</t>
  </si>
  <si>
    <t xml:space="preserve">Evitar</t>
  </si>
  <si>
    <t xml:space="preserve">DMZ industrial, zonas y conductos ISA/IEC 62443, cuentas por rol y acceso remoto con doble factor</t>
  </si>
  <si>
    <t xml:space="preserve">Alerta del firewall o acceso no autorizado</t>
  </si>
  <si>
    <t xml:space="preserve">R8</t>
  </si>
  <si>
    <t xml:space="preserve">Rotación o ausencia de un integrante de Kuajo</t>
  </si>
  <si>
    <t xml:space="preserve">Equipo pequeño de 6 personas</t>
  </si>
  <si>
    <t xml:space="preserve">Pérdida de conocimiento y retrasos</t>
  </si>
  <si>
    <t xml:space="preserve">Documentación en GitHub, parejas de respaldo (R3–R4, R5–R6) y revisión cruzada de código</t>
  </si>
  <si>
    <t xml:space="preserve">Incapacidad o renuncia</t>
  </si>
  <si>
    <t xml:space="preserve">R9</t>
  </si>
  <si>
    <t xml:space="preserve">Cambios de alcance (extender a quesos o UHT)</t>
  </si>
  <si>
    <t xml:space="preserve">Expectativas del cliente durante el proyecto</t>
  </si>
  <si>
    <t xml:space="preserve">Sobrecostos y retraso de la Fase 1</t>
  </si>
  <si>
    <t xml:space="preserve">Control de cambios formal; las Fases 2 y 3 se cotizan aparte</t>
  </si>
  <si>
    <t xml:space="preserve">Solicitud de cambio no incluida en el alcance</t>
  </si>
  <si>
    <t xml:space="preserve">R10</t>
  </si>
  <si>
    <t xml:space="preserve">Incumplimiento de requisitos sanitarios en el diseño</t>
  </si>
  <si>
    <t xml:space="preserve">Materiales o diseños no aptos para alimentos (Resolución 2674 de 2013)</t>
  </si>
  <si>
    <t xml:space="preserve">Rediseño y reprocesos</t>
  </si>
  <si>
    <t xml:space="preserve">Revisión de calidad de Pomar en la ingeniería básica; acero AISI 316L, juntas EPDM grado alimentario, certificados de materiales</t>
  </si>
  <si>
    <t xml:space="preserve">Observación de calidad en la revisión de diseño</t>
  </si>
  <si>
    <t xml:space="preserve">R11</t>
  </si>
  <si>
    <t xml:space="preserve">Retraso en aprobaciones del cliente</t>
  </si>
  <si>
    <t xml:space="preserve">Agenda de la gerencia de Pomar</t>
  </si>
  <si>
    <t xml:space="preserve">Se detienen actividades críticas</t>
  </si>
  <si>
    <t xml:space="preserve">Comité semanal, plazos de respuesta de 5 días hábiles en el contrato y matriz de comunicaciones</t>
  </si>
  <si>
    <t xml:space="preserve">Aprobación pendiente &gt; 5 días hábiles</t>
  </si>
  <si>
    <t xml:space="preserve">R12</t>
  </si>
  <si>
    <t xml:space="preserve">Falta de leche o de demanda para el volumen adicional</t>
  </si>
  <si>
    <t xml:space="preserve">Oferta lechera estacional o menor demanda del contrato</t>
  </si>
  <si>
    <t xml:space="preserve">Pomar no captura el beneficio de volumen</t>
  </si>
  <si>
    <t xml:space="preserve">Aceptar</t>
  </si>
  <si>
    <t xml:space="preserve">Beneficio de volumen tomado al 50 % en el modelo; análisis de sensibilidad muestra VPN positivo sin este beneficio</t>
  </si>
  <si>
    <t xml:space="preserve">Acopio &lt; 220.000 L/día</t>
  </si>
  <si>
    <t xml:space="preserve">Valor esperado retenido por Kuajo (riesgos de Kuajo; 1/3 de los transferidos por cláusula; mitad de “Ambos”)</t>
  </si>
  <si>
    <t xml:space="preserve">Contingencia incluida en el precio (hoja Precio_Kuajo)</t>
  </si>
  <si>
    <t xml:space="preserve">Cobertura de la contingencia (contingencia / valor esperado)</t>
  </si>
  <si>
    <t xml:space="preserve">Mapa de calor: número de riesgos por probabilidad (filas) e impacto (columnas)</t>
  </si>
  <si>
    <t xml:space="preserve">I = 1</t>
  </si>
  <si>
    <t xml:space="preserve">I = 2</t>
  </si>
  <si>
    <t xml:space="preserve">I = 3</t>
  </si>
  <si>
    <t xml:space="preserve">I = 4</t>
  </si>
  <si>
    <t xml:space="preserve">I = 5</t>
  </si>
  <si>
    <t xml:space="preserve">P = 5</t>
  </si>
  <si>
    <t xml:space="preserve">P = 4</t>
  </si>
  <si>
    <t xml:space="preserve">P = 3</t>
  </si>
  <si>
    <t xml:space="preserve">P = 2</t>
  </si>
  <si>
    <t xml:space="preserve">P = 1</t>
  </si>
  <si>
    <t xml:space="preserve">Matriz de adquisiciones (PM4R)</t>
  </si>
  <si>
    <t xml:space="preserve">Fecha de pedido = inicio de la actividad de compra en el cronograma; fecha requerida = inicio más tardío de la actividad que usa el bien.</t>
  </si>
  <si>
    <t xml:space="preserve">Valor estimado (COP)</t>
  </si>
  <si>
    <t xml:space="preserve">Tipo de contrato</t>
  </si>
  <si>
    <t xml:space="preserve">Método de selección</t>
  </si>
  <si>
    <t xml:space="preserve">Proveedores potenciales</t>
  </si>
  <si>
    <t xml:space="preserve">Criterios de selección</t>
  </si>
  <si>
    <t xml:space="preserve">Plazo de entrega (sem)</t>
  </si>
  <si>
    <t xml:space="preserve">Actividad de compra</t>
  </si>
  <si>
    <t xml:space="preserve">Fecha de pedido</t>
  </si>
  <si>
    <t xml:space="preserve">Actividad que lo necesita</t>
  </si>
  <si>
    <t xml:space="preserve">Fecha requerida</t>
  </si>
  <si>
    <t xml:space="preserve">Orden de compra a precio fijo</t>
  </si>
  <si>
    <t xml:space="preserve">Comparación de 3 cotizaciones</t>
  </si>
  <si>
    <t xml:space="preserve">Endress+Hauser Colombia; VEGA; Krohne</t>
  </si>
  <si>
    <t xml:space="preserve">Diseño higiénico 3-A/EHEDG, HART/IO-Link, soporte local</t>
  </si>
  <si>
    <t xml:space="preserve">Proveedores de analizadores en línea para lácteos</t>
  </si>
  <si>
    <t xml:space="preserve">Calibración para yogur concentrado, soporte local</t>
  </si>
  <si>
    <t xml:space="preserve">Mettler-Toledo; Loma; Ishida (pesaje y metales); Cognex o Keyence (visión)</t>
  </si>
  <si>
    <t xml:space="preserve">Sensibilidad, integración EtherNet/IP, servicio técnico</t>
  </si>
  <si>
    <t xml:space="preserve">Alfa Laval; GEA; SPX Flow</t>
  </si>
  <si>
    <t xml:space="preserve">Mix-proof certificado, cabezales con IO-Link, repuestos en Colombia</t>
  </si>
  <si>
    <t xml:space="preserve">Proveedor único justificado (compatibilidad con Logix Emulate y Studio 5000)</t>
  </si>
  <si>
    <t xml:space="preserve">Distribuidor autorizado Rockwell Automation en Colombia</t>
  </si>
  <si>
    <t xml:space="preserve">Precio, disponibilidad y soporte del distribuidor</t>
  </si>
  <si>
    <t xml:space="preserve">Cisco o Stratix, Dell o HPE, Fortinet o Palo Alto</t>
  </si>
  <si>
    <t xml:space="preserve">Cumplimiento ISA/IEC 62443, garantía de 3 años</t>
  </si>
  <si>
    <t xml:space="preserve">Contrato llave en mano con hitos</t>
  </si>
  <si>
    <t xml:space="preserve">Comparación de 3 ofertas técnico-económicas</t>
  </si>
  <si>
    <t xml:space="preserve">ABB Colombia; FANUC; KUKA (con integrador de celda local que ensambla, programa y hace el FAT)</t>
  </si>
  <si>
    <t xml:space="preserve">Ciclos/h, FAT en fábrica, PalletPack o equivalente, soporte local</t>
  </si>
  <si>
    <t xml:space="preserve">Licencia perpetua</t>
  </si>
  <si>
    <t xml:space="preserve">Compra directa al fabricante</t>
  </si>
  <si>
    <t xml:space="preserve">Inductive Automation</t>
  </si>
  <si>
    <t xml:space="preserve">Precio de lista publicado; licencia ilimitada de tags y clientes</t>
  </si>
  <si>
    <t xml:space="preserve">Sepasoft</t>
  </si>
  <si>
    <t xml:space="preserve">Módulos MES nativos de Ignition; interfaz SAP</t>
  </si>
  <si>
    <t xml:space="preserve">Contrato a precio fijo</t>
  </si>
  <si>
    <t xml:space="preserve">Tableristas certificados RETIE en Bogotá</t>
  </si>
  <si>
    <t xml:space="preserve">Certificación RETIE, plazo, pruebas FAT de tableros</t>
  </si>
  <si>
    <t xml:space="preserve">Contratistas locales de Cajicá</t>
  </si>
  <si>
    <t xml:space="preserve">Experiencia en plantas de alimentos, póliza</t>
  </si>
  <si>
    <t xml:space="preserve">Contrato a precio fijo con multas por retraso</t>
  </si>
  <si>
    <t xml:space="preserve">Montadores de tubería sanitaria inoxidable</t>
  </si>
  <si>
    <t xml:space="preserve">Soldadura orbital certificada, disponibilidad en la parada</t>
  </si>
  <si>
    <t xml:space="preserve">Contratistas eléctricos industriales</t>
  </si>
  <si>
    <t xml:space="preserve">RETIE, personal certificado en alturas</t>
  </si>
  <si>
    <t xml:space="preserve">Orden de servicio y póliza</t>
  </si>
  <si>
    <t xml:space="preserve">Comparación de 2 cotizaciones</t>
  </si>
  <si>
    <t xml:space="preserve">Empresas de izaje de Bogotá; aseguradoras con ramo de montaje (Sura, Bolívar, Allianz)</t>
  </si>
  <si>
    <t xml:space="preserve">Grúa y aparejos certificados con plan de izaje; póliza por el valor total de los equipos</t>
  </si>
  <si>
    <t xml:space="preserve">Control: total − suministros de Cotizaciones (debe ser 0)</t>
  </si>
  <si>
    <t xml:space="preserve">Desglose del plazo de entrega de cada compra (semanas): incluye los tiempos de importación</t>
  </si>
  <si>
    <t xml:space="preserve">Origen probable</t>
  </si>
  <si>
    <t xml:space="preserve">Transporte</t>
  </si>
  <si>
    <t xml:space="preserve">Fabricación o preparación</t>
  </si>
  <si>
    <t xml:space="preserve">Tránsito internacional</t>
  </si>
  <si>
    <t xml:space="preserve">Nacionalización (puerto + DIAN)</t>
  </si>
  <si>
    <t xml:space="preserve">Transporte a destino</t>
  </si>
  <si>
    <t xml:space="preserve">Recepción, ensamble o pruebas</t>
  </si>
  <si>
    <t xml:space="preserve">Total (sem)</t>
  </si>
  <si>
    <t xml:space="preserve">Plazo en la matriz</t>
  </si>
  <si>
    <t xml:space="preserve">Alemania y Suiza (Endress+Hauser)</t>
  </si>
  <si>
    <t xml:space="preserve">Marítimo consolidado; aéreo si hay urgencia</t>
  </si>
  <si>
    <t xml:space="preserve">Fabricación bajo pedido; Europa–Cartagena ≈ 14–21 días por mar; verificación y calibración al recibir</t>
  </si>
  <si>
    <t xml:space="preserve">Europa o EE. UU.</t>
  </si>
  <si>
    <t xml:space="preserve">Aéreo (equipo delicado)</t>
  </si>
  <si>
    <t xml:space="preserve">Fabricación y calibración de fábrica para yogur concentrado; ajuste de modelos al recibir</t>
  </si>
  <si>
    <t xml:space="preserve">Suiza y EE. UU. (Mettler-Toledo, Cognex)</t>
  </si>
  <si>
    <t xml:space="preserve">Marítimo</t>
  </si>
  <si>
    <t xml:space="preserve">Equipos configurados por formato de envase</t>
  </si>
  <si>
    <t xml:space="preserve">Dinamarca y Suecia (Alfa Laval)</t>
  </si>
  <si>
    <t xml:space="preserve">Matriz de válvulas mix-proof con cabezales de control</t>
  </si>
  <si>
    <t xml:space="preserve">EE. UU. (Rockwell Automation, vía distribuidor)</t>
  </si>
  <si>
    <t xml:space="preserve">Marítimo EE. UU.–Cartagena (4–5 días)</t>
  </si>
  <si>
    <t xml:space="preserve">Configuración y pruebas en el taller de Kuajo antes de enviar a planta</t>
  </si>
  <si>
    <t xml:space="preserve">EE. UU. (Cisco/Stratix, Dell, Fortinet)</t>
  </si>
  <si>
    <t xml:space="preserve">Configuración de red, DMZ y servidores en el taller de Kuajo</t>
  </si>
  <si>
    <t xml:space="preserve">Suecia (ABB, certificado de origen UE) + integrador local</t>
  </si>
  <si>
    <t xml:space="preserve">Fabricación de robots bajo pedido; ensamble y pruebas de la celda en el taller del integrador en Bogotá antes del FAT (actividad 5.3)</t>
  </si>
  <si>
    <t xml:space="preserve">EE. UU. (descarga digital)</t>
  </si>
  <si>
    <t xml:space="preserve">Licencia electrónica: activación y pruebas</t>
  </si>
  <si>
    <t xml:space="preserve">Bogotá (fabricación local)</t>
  </si>
  <si>
    <t xml:space="preserve">Terrestre</t>
  </si>
  <si>
    <t xml:space="preserve">Fabricación con RETIE y FAT de tableros en el taller</t>
  </si>
  <si>
    <t xml:space="preserve">Control: suma de diferencias (debe ser 0)</t>
  </si>
  <si>
    <t xml:space="preserve">Fuentes de los tiempos: tránsito EE. UU.–Cartagena de 4–5 días (iContainers, oct. 2026); tiempo de importación en Colombia de 112 h de cumplimiento fronterizo y 64 h documental (Banco Mundial, Doing Business 2019); fabricación: estimación de integrador a confirmar con cada proveedor.</t>
  </si>
  <si>
    <t xml:space="preserve">Matriz de comunicaciones (PM4R)</t>
  </si>
  <si>
    <t xml:space="preserve">Interesado</t>
  </si>
  <si>
    <t xml:space="preserve">Interés o necesidad</t>
  </si>
  <si>
    <t xml:space="preserve">Información que recibe</t>
  </si>
  <si>
    <t xml:space="preserve">Frecuencia</t>
  </si>
  <si>
    <t xml:space="preserve">Medio</t>
  </si>
  <si>
    <t xml:space="preserve">Formato</t>
  </si>
  <si>
    <t xml:space="preserve">Responsable de emitir</t>
  </si>
  <si>
    <t xml:space="preserve">Retroalimentación esperada</t>
  </si>
  <si>
    <t xml:space="preserve">Gerente general de Pomar (patrocinador)</t>
  </si>
  <si>
    <t xml:space="preserve">Retorno de la inversión y riesgos mayores</t>
  </si>
  <si>
    <t xml:space="preserve">Avance, costo vs. curva S, hitos y riesgos altos</t>
  </si>
  <si>
    <t xml:space="preserve">Comité directivo presencial</t>
  </si>
  <si>
    <t xml:space="preserve">Tablero ejecutivo de 1 página</t>
  </si>
  <si>
    <t xml:space="preserve">Aprobación de hitos y cambios de alcance</t>
  </si>
  <si>
    <t xml:space="preserve">Gerente de planta Cajicá</t>
  </si>
  <si>
    <t xml:space="preserve">Producción sin interrupciones</t>
  </si>
  <si>
    <t xml:space="preserve">Plan de parada, avance semanal, decisiones pendientes</t>
  </si>
  <si>
    <t xml:space="preserve">Semanal</t>
  </si>
  <si>
    <t xml:space="preserve">Comité de proyecto</t>
  </si>
  <si>
    <t xml:space="preserve">Informe semanal + acta</t>
  </si>
  <si>
    <t xml:space="preserve">Aprobaciones en 5 días hábiles</t>
  </si>
  <si>
    <t xml:space="preserve">Jefe de producción de yogures</t>
  </si>
  <si>
    <t xml:space="preserve">Recetas, operación y cambios de turno</t>
  </si>
  <si>
    <t xml:space="preserve">Recetas, secuencias, plan de capacitación</t>
  </si>
  <si>
    <t xml:space="preserve">Reunión en planta</t>
  </si>
  <si>
    <t xml:space="preserve">Documento de recetas y FDS</t>
  </si>
  <si>
    <t xml:space="preserve">Validación de recetas y parámetros</t>
  </si>
  <si>
    <t xml:space="preserve">Jefe de TI</t>
  </si>
  <si>
    <t xml:space="preserve">Seguridad y compatibilidad con SAP</t>
  </si>
  <si>
    <t xml:space="preserve">Arquitectura de red, DMZ, interfaz SAP</t>
  </si>
  <si>
    <t xml:space="preserve">Quincenal</t>
  </si>
  <si>
    <t xml:space="preserve">Mesa técnica</t>
  </si>
  <si>
    <t xml:space="preserve">Diagramas y especificación de interfaz</t>
  </si>
  <si>
    <t xml:space="preserve">Aprobación de la arquitectura y accesos</t>
  </si>
  <si>
    <t xml:space="preserve">Jefe de calidad</t>
  </si>
  <si>
    <t xml:space="preserve">Inocuidad y trazabilidad</t>
  </si>
  <si>
    <t xml:space="preserve">Diseño sanitario, PCC, genealogía</t>
  </si>
  <si>
    <t xml:space="preserve">Revisión de diseño</t>
  </si>
  <si>
    <t xml:space="preserve">Lista de chequeo sanitaria</t>
  </si>
  <si>
    <t xml:space="preserve">Aprobación sanitaria del diseño</t>
  </si>
  <si>
    <t xml:space="preserve">Jefe de mantenimiento</t>
  </si>
  <si>
    <t xml:space="preserve">Mantenibilidad y repuestos</t>
  </si>
  <si>
    <t xml:space="preserve">Lista de equipos, repuestos y planes de mantenimiento</t>
  </si>
  <si>
    <t xml:space="preserve">Reunión técnica</t>
  </si>
  <si>
    <t xml:space="preserve">Listado de activos y repuestos</t>
  </si>
  <si>
    <t xml:space="preserve">Plan de mantenimiento aceptado</t>
  </si>
  <si>
    <t xml:space="preserve">Operadores y supervisores</t>
  </si>
  <si>
    <t xml:space="preserve">Facilidad de uso y estabilidad del empleo</t>
  </si>
  <si>
    <t xml:space="preserve">Cambios en su puesto, capacitación, HMI</t>
  </si>
  <si>
    <t xml:space="preserve">Hitos (FAT, arranque)</t>
  </si>
  <si>
    <t xml:space="preserve">Charlas en planta</t>
  </si>
  <si>
    <t xml:space="preserve">Presentación y manuales de bolsillo</t>
  </si>
  <si>
    <t xml:space="preserve">Sugerencias para la HMI</t>
  </si>
  <si>
    <t xml:space="preserve">Proveedores de equipos</t>
  </si>
  <si>
    <t xml:space="preserve">Especificaciones y fechas</t>
  </si>
  <si>
    <t xml:space="preserve">Órdenes de compra, especificaciones, FAT</t>
  </si>
  <si>
    <t xml:space="preserve">Según orden de compra</t>
  </si>
  <si>
    <t xml:space="preserve">Correo y videollamada</t>
  </si>
  <si>
    <t xml:space="preserve">Orden de compra y hoja de datos</t>
  </si>
  <si>
    <t xml:space="preserve">Confirmación de fechas de entrega</t>
  </si>
  <si>
    <t xml:space="preserve">Equipo Kuajo</t>
  </si>
  <si>
    <t xml:space="preserve">Coordinación interna</t>
  </si>
  <si>
    <t xml:space="preserve">Tareas, bloqueos, riesgos</t>
  </si>
  <si>
    <t xml:space="preserve">Diario (15 min) y semanal</t>
  </si>
  <si>
    <t xml:space="preserve">Reunión de pie y GitHub Projects</t>
  </si>
  <si>
    <t xml:space="preserve">Tablero de tareas</t>
  </si>
  <si>
    <t xml:space="preserve">Actualización de tareas</t>
  </si>
  <si>
    <t xml:space="preserve">Aseguradora (póliza)</t>
  </si>
  <si>
    <t xml:space="preserve">Cumplimiento del contrato</t>
  </si>
  <si>
    <t xml:space="preserve">Contrato, actas de hitos</t>
  </si>
  <si>
    <t xml:space="preserve">Por hito</t>
  </si>
  <si>
    <t xml:space="preserve">Correo</t>
  </si>
  <si>
    <t xml:space="preserve">Actas firmadas</t>
  </si>
  <si>
    <t xml:space="preserve">Vigencia de la póliza</t>
  </si>
  <si>
    <t xml:space="preserve">Matriz RACI de responsabilidades</t>
  </si>
  <si>
    <t xml:space="preserve">R = responsable de ejecutar · A = aprueba y rinde cuentas (uno por fila) · C = consultado · I = informado</t>
  </si>
  <si>
    <t xml:space="preserve">Entregable o decisión</t>
  </si>
  <si>
    <t xml:space="preserve">Patrocinador Pomar</t>
  </si>
  <si>
    <t xml:space="preserve">Gerente de planta</t>
  </si>
  <si>
    <t xml:space="preserve">TI Pomar</t>
  </si>
  <si>
    <t xml:space="preserve">Calidad Pomar</t>
  </si>
  <si>
    <t xml:space="preserve">Mantenimiento Pomar</t>
  </si>
  <si>
    <t xml:space="preserve">R1 Duvan (PM)</t>
  </si>
  <si>
    <t xml:space="preserve">R2 Paula (OT/IT)</t>
  </si>
  <si>
    <t xml:space="preserve">R3 David Felipe (procesos)</t>
  </si>
  <si>
    <t xml:space="preserve">R4 Juan (producción)</t>
  </si>
  <si>
    <t xml:space="preserve">R5 Jose Luis (control y robótica)</t>
  </si>
  <si>
    <t xml:space="preserve">R6 Ian (SCADA y redes)</t>
  </si>
  <si>
    <t xml:space="preserve">Proveedores</t>
  </si>
  <si>
    <t xml:space="preserve">Acta de constitución y plan del proyecto</t>
  </si>
  <si>
    <t xml:space="preserve">A</t>
  </si>
  <si>
    <t xml:space="preserve">C</t>
  </si>
  <si>
    <t xml:space="preserve">I</t>
  </si>
  <si>
    <t xml:space="preserve">R</t>
  </si>
  <si>
    <t xml:space="preserve">Diagnóstico, VSM actual y KPIs base</t>
  </si>
  <si>
    <t xml:space="preserve">Arquitectura ISA-95/ISA-88 y requerimientos</t>
  </si>
  <si>
    <t xml:space="preserve">P&amp;ID e instrumentación</t>
  </si>
  <si>
    <t xml:space="preserve">FDS, recetas y programación del PLC</t>
  </si>
  <si>
    <t xml:space="preserve">SCADA (HMI ISA-101) y gemelo digital</t>
  </si>
  <si>
    <t xml:space="preserve">MES e interfaz con SAP</t>
  </si>
  <si>
    <t xml:space="preserve">Diseño de la celda robotizada y seguridad</t>
  </si>
  <si>
    <t xml:space="preserve">Compras y contratos con proveedores</t>
  </si>
  <si>
    <t xml:space="preserve">FAT virtual y de celda</t>
  </si>
  <si>
    <t xml:space="preserve">Montaje en la parada de 2 semanas</t>
  </si>
  <si>
    <t xml:space="preserve">SAT y lotes de prueba</t>
  </si>
  <si>
    <t xml:space="preserve">Capacitación y entrega</t>
  </si>
  <si>
    <t xml:space="preserve">Control de cambios de alcance</t>
  </si>
  <si>
    <t xml:space="preserve">Acta de cierre</t>
  </si>
  <si>
    <t xml:space="preserve">Control: cada fila tiene exactamente una A</t>
  </si>
  <si>
    <t xml:space="preserve">Oferta comercial KA-OF-2026-001 — Kuajo Automation S.A.S. para Lácteos Pomar (El Pomar S.A.)</t>
  </si>
  <si>
    <t xml:space="preserve">Caso académico. Valores en COP sin IVA. Validez: 90 días calendario (hasta enero de 2027, después de la firma prevista del 11/01/2027).</t>
  </si>
  <si>
    <t xml:space="preserve">1. Objeto</t>
  </si>
  <si>
    <t xml:space="preserve">Diseño, suministro, comisionamiento virtual, montaje y puesta en marcha de la solución de Transformación Digital Industrial de la línea de yogures de la planta de Cajicá, y de la plataforma de planta (SCADA, MES e integración con SAP) sobre la que se conectarán las líneas de quesos y UHT.</t>
  </si>
  <si>
    <t xml:space="preserve">2. Alcance incluido</t>
  </si>
  <si>
    <t xml:space="preserve">• Ingeniería conceptual, básica y de detalle: diagnóstico, VSM, arquitectura ISA-95/ISA-88, P&amp;ID, FDS, planos eléctricos.</t>
  </si>
  <si>
    <t xml:space="preserve">TT-211, TT-212B, TT-212C, TT-221 a TT-227, TT-201 (11) + 2 de repuesto</t>
  </si>
  <si>
    <t xml:space="preserve">• Suministro e instalación de 52 instrumentos de campo nuevos (incluidos el analizador NIR en línea, el registrador del PCC 1, 8 lectores de código y el lector RFID de formato), 24 válvulas mix-proof, 13 válvulas de control, válvula de desvío, 12 variadores e inspección (pesaje, metales y visión) en 2 llenadoras.</t>
  </si>
  <si>
    <t xml:space="preserve">• PLC ControlLogix con fases ISA-88 parametrizadas para Y1, Y2 y Y3; PLC de seguridad para la celda.</t>
  </si>
  <si>
    <t xml:space="preserve">• Celda robotizada: 2 robots delta de encajonado, 1 paletizador con 2 estaciones, envolvedora y etiquetado GS1-128.</t>
  </si>
  <si>
    <t xml:space="preserve">• SCADA Ignition con HMI ISA-101 e historian; MES Sepasoft (OEE, Track &amp; Trace, Batch, SPC, cambios de receta) e interfaz con SAP.</t>
  </si>
  <si>
    <t xml:space="preserve">• Infraestructura OT/IT: servidores redundantes, red industrial, DMZ con firewall (ISA/IEC 62443).</t>
  </si>
  <si>
    <t xml:space="preserve">• Gemelo digital de la línea y FAT virtual con Logix Emulate antes de la parada.</t>
  </si>
  <si>
    <t xml:space="preserve">• Montaje en una parada máxima de 2 semanas, SAT, lotes de prueba de las 3 recetas y 6 semanas de estabilización.</t>
  </si>
  <si>
    <t xml:space="preserve">• Capacitación de operadores, mantenimiento y TI; manuales y respaldo del software.</t>
  </si>
  <si>
    <t xml:space="preserve">3. Exclusiones</t>
  </si>
  <si>
    <t xml:space="preserve">• IVA (19 %), que se factura aparte y es descontable para Pomar en bienes de capital.</t>
  </si>
  <si>
    <t xml:space="preserve">• Licencias de SAP y de Power BI (Pomar usa sus licencias corporativas) y desarrollos dentro de SAP distintos de la interfaz.</t>
  </si>
  <si>
    <t xml:space="preserve">• Equipos de proceso: Pomar ya los tiene (tanques, tren térmico, fermentadores, separador, enfriador, llenadoras y CIP) y la propuesta no los reemplaza; tampoco incluye obras civiles mayores ni ampliaciones de servicios (vapor, agua helada, aire).</t>
  </si>
  <si>
    <t xml:space="preserve">• Automatización de las líneas UHT y de quesos (Fases 2 y 3, cotizadas como referencia en el punto 7 de esta oferta).</t>
  </si>
  <si>
    <t xml:space="preserve">3A. Logística incluida en el precio</t>
  </si>
  <si>
    <t xml:space="preserve">• Importación: flete internacional, seguro, agencia de aduanas, gastos portuarios, transporte Cartagena–Cajicá y bodegaje (8 % sobre el valor FOB). Arancel 0 % para bienes de capital no producidos en Colombia (Decreto 272 de 2018) y equipos de origen UE o EE. UU. con certificado de origen.</t>
  </si>
  <si>
    <t xml:space="preserve">• Grúa, izaje y traslado de la celda robotizada desde el taller del integrador en Bogotá hasta Cajicá.</t>
  </si>
  <si>
    <t xml:space="preserve">• Póliza todo riesgo montaje que cubre los equipos durante el montaje, las pruebas y el arranque.</t>
  </si>
  <si>
    <t xml:space="preserve">3B. Obligaciones de Pomar</t>
  </si>
  <si>
    <t xml:space="preserve">• Bodega cubierta y segura de ≈ 150 m² en la planta, sin costo, para recibir y guardar los equipos entre su llegada (desde la semana 25) y el montaje (semana 34).</t>
  </si>
  <si>
    <t xml:space="preserve">• Programar la parada de 12 días hábiles de la línea de yogures en las fechas acordadas y producir inventario previo.</t>
  </si>
  <si>
    <t xml:space="preserve">• Disponibilidad de energía, agua, aire y vapor para pruebas; acceso para grúa al área de la celda.</t>
  </si>
  <si>
    <t xml:space="preserve">• Personal clave disponible: líder de proyecto, TI, calidad, mantenimiento y operadores para el FAT, el SAT y la capacitación.</t>
  </si>
  <si>
    <t xml:space="preserve">• Aprobaciones de hitos en un máximo de 5 días hábiles.</t>
  </si>
  <si>
    <t xml:space="preserve">4. Precio</t>
  </si>
  <si>
    <t xml:space="preserve">Precio total de la Fase 1 (sin IVA)</t>
  </si>
  <si>
    <t xml:space="preserve">IVA 19 %</t>
  </si>
  <si>
    <t xml:space="preserve">Total con IVA</t>
  </si>
  <si>
    <t xml:space="preserve">Composición: suministros (a precio)</t>
  </si>
  <si>
    <t xml:space="preserve">Composición: servicios de ingeniería y gestión</t>
  </si>
  <si>
    <t xml:space="preserve">Composición: contingencia y póliza</t>
  </si>
  <si>
    <t xml:space="preserve">Ajuste por tasa de cambio: si la TRM del día de cada orden de compra varía más de 5 % frente a la TRM base de la oferta ($3.273,49), los suministros cotizados en US$ (equipos importados y licencias de software) se ajustan en la misma proporción, al alza o a la baja.</t>
  </si>
  <si>
    <t xml:space="preserve">5. Forma de pago (contra hito aprobado y factura, a 30 días; el anticipo, contra la póliza de buen manejo)</t>
  </si>
  <si>
    <t xml:space="preserve">Hito</t>
  </si>
  <si>
    <t xml:space="preserve">Mes estimado</t>
  </si>
  <si>
    <t xml:space="preserve">6. Plazo, garantía y soporte</t>
  </si>
  <si>
    <t xml:space="preserve">Plazo de ejecución (semanas desde la firma)</t>
  </si>
  <si>
    <t xml:space="preserve">Fecha estimada de entrega</t>
  </si>
  <si>
    <t xml:space="preserve">Garantía de equipos y software (meses desde el acta de entrega)</t>
  </si>
  <si>
    <t xml:space="preserve">Fin de la garantía</t>
  </si>
  <si>
    <t xml:space="preserve">Contrato de soporte posterior opcional (COP/mes)</t>
  </si>
  <si>
    <t xml:space="preserve">Tiempo de respuesta en soporte crítico (horas)</t>
  </si>
  <si>
    <t xml:space="preserve">7. Costo por línea y fases futuras (Fases 2 y 3: referencia ±30 %, cotización formal aparte)</t>
  </si>
  <si>
    <t xml:space="preserve">Alcance</t>
  </si>
  <si>
    <t xml:space="preserve">Costo estimado para Kuajo (COP)</t>
  </si>
  <si>
    <t xml:space="preserve">Utilidad antes de impuestos (COP)</t>
  </si>
  <si>
    <t xml:space="preserve">Fase 1: plataforma de planta (SCADA, MES, red, servidores, integración con SAP)</t>
  </si>
  <si>
    <t xml:space="preserve">Fase 1: automatización de la línea de yogures (sin la plataforma)</t>
  </si>
  <si>
    <t xml:space="preserve">Fase 1 total (calculada en detalle)</t>
  </si>
  <si>
    <t xml:space="preserve">Fase 2: línea UHT (factor 0,45 sobre la automatización de la línea 1 sin la plataforma: los equipos UHT ya traen control propio)</t>
  </si>
  <si>
    <t xml:space="preserve">Fase 3: línea de quesos (factor 0,55 sobre la automatización de la línea 1 sin la plataforma: robot sanitario de moldes y recetas más complejas)</t>
  </si>
  <si>
    <t xml:space="preserve">Planta completa (Fases 1 + 2 + 3)</t>
  </si>
  <si>
    <t xml:space="preserve">Los factores de las Fases 2 y 3 se aplican a la automatización de la línea 1 sin la plataforma, porque la plataforma (SCADA, MES, red, servidores e interfaz con SAP) no se vuelve a comprar. El costo para Kuajo supone la misma relación costo/precio de la Fase 1. Orden recomendado: línea 1 → línea 3 (UHT) → línea 2 (quesos).</t>
  </si>
  <si>
    <t xml:space="preserve">8. Propuesta de valor para Pomar</t>
  </si>
  <si>
    <t xml:space="preserve">Valor presente neto para Pomar (TIO)</t>
  </si>
  <si>
    <t xml:space="preserve">Tasa interna de retorno para Pomar</t>
  </si>
  <si>
    <t xml:space="preserve">Periodo de recuperación (años)</t>
  </si>
  <si>
    <t xml:space="preserve">Beneficio anual en régimen (año 2, COP)</t>
  </si>
  <si>
    <t xml:space="preserve">Factor de beneficios mínimo para que convenga</t>
  </si>
  <si>
    <t xml:space="preserve">• Comisionamiento virtual antes de invertir: la línea se prueba completa en su gemelo digital antes de la parada, lo que reduce la parada a 2 semanas y el riesgo de arranque.</t>
  </si>
  <si>
    <t xml:space="preserve">• Trazabilidad lote a lote de silo a pallet en menos de 30 minutos y KPIs en línea (OEE de 55 % a 78 %).</t>
  </si>
  <si>
    <t xml:space="preserve">• Plataforma abierta (Ignition + Sepasoft, licencias ilimitadas de tags y clientes) que crece a quesos y UHT sin volver a comprar el núcleo.</t>
  </si>
  <si>
    <t xml:space="preserve">• Equipo local en Bogotá con respuesta en 4 horas y contrato de soporte mensual.</t>
  </si>
  <si>
    <t xml:space="preserve">Fuentes consultadas (octubre de 2026)</t>
  </si>
  <si>
    <t xml:space="preserve">Dato</t>
  </si>
  <si>
    <t xml:space="preserve">URL</t>
  </si>
  <si>
    <t xml:space="preserve">TRM $3.273,49 (3–5 oct. 2026)</t>
  </si>
  <si>
    <t xml:space="preserve">Noticias Caracol</t>
  </si>
  <si>
    <t xml:space="preserve">https://www.noticiascaracol.com/economia/precio-del-dolar-hoy-5-de-octubre-de-2026-en-colombia-asi-abrio-la-trm-este-lunes-so35</t>
  </si>
  <si>
    <t xml:space="preserve">Salario mínimo y auxilio de transporte 2026</t>
  </si>
  <si>
    <t xml:space="preserve">Holland &amp; Knight (Decretos 1469 y 1470 de 2025)</t>
  </si>
  <si>
    <t xml:space="preserve">https://www.hklaw.com/en/insights/publications/2025/12/colombia-decreta-aumento-del-salario-minimo-y-auxilio-de-transporte</t>
  </si>
  <si>
    <t xml:space="preserve">Porcentajes de prestaciones y aportes 2026</t>
  </si>
  <si>
    <t xml:space="preserve">CalcuColombia</t>
  </si>
  <si>
    <t xml:space="preserve">https://calcucolombia.co/blog/tabla-prestaciones-sociales-2026-porcentajes</t>
  </si>
  <si>
    <t xml:space="preserve">Salario de ingeniero de automatización</t>
  </si>
  <si>
    <t xml:space="preserve">Indeed Colombia (17 sept. 2026)</t>
  </si>
  <si>
    <t xml:space="preserve">https://co.indeed.com/career/ingeniero-de-automatizaci%C3%B3n/salaries</t>
  </si>
  <si>
    <t xml:space="preserve">Salario de gerente de proyectos</t>
  </si>
  <si>
    <t xml:space="preserve">Indeed Colombia (11 sept. 2026)</t>
  </si>
  <si>
    <t xml:space="preserve">https://co.indeed.com/career/gerente-de-proyectos/salaries</t>
  </si>
  <si>
    <t xml:space="preserve">Salario de ingeniero mecatrónico</t>
  </si>
  <si>
    <t xml:space="preserve">Indeed Colombia (26 ago. 2026)</t>
  </si>
  <si>
    <t xml:space="preserve">https://co.indeed.com/career/ingeniero-en-mecatr%C3%B3nica/salaries</t>
  </si>
  <si>
    <t xml:space="preserve">Precios de licencias Ignition</t>
  </si>
  <si>
    <t xml:space="preserve">https://inductiveautomation.com/pricing/list</t>
  </si>
  <si>
    <t xml:space="preserve">Precios de módulos MES</t>
  </si>
  <si>
    <t xml:space="preserve">https://www.sepasoft.com/pricing-mes/</t>
  </si>
  <si>
    <t xml:space="preserve">Precios de caudalímetros Coriolis E+H</t>
  </si>
  <si>
    <t xml:space="preserve">Instrumart</t>
  </si>
  <si>
    <t xml:space="preserve">https://www.instrumart.com/brand-category/1465/5678/endresshauser-coriolis-mass-flow-meters</t>
  </si>
  <si>
    <t xml:space="preserve">Precios de caudalímetros electromagnéticos E+H</t>
  </si>
  <si>
    <t xml:space="preserve">https://www.instrumart.com/brand-category/1465/3049/endresshauser-flow-meters</t>
  </si>
  <si>
    <t xml:space="preserve">Precio de termómetro iTHERM TM411</t>
  </si>
  <si>
    <t xml:space="preserve">https://www.instrumart.com/products/47158/eh-itherm-tm411-rtd-thermometer</t>
  </si>
  <si>
    <t xml:space="preserve">Precio de radar Micropilot FMR43</t>
  </si>
  <si>
    <t xml:space="preserve">https://www.instrumart.com/products/191109/eh-micropilot-fmr43-radar-sensor</t>
  </si>
  <si>
    <t xml:space="preserve">Precios de sensores de pH E+H</t>
  </si>
  <si>
    <t xml:space="preserve">https://www.instrumart.com/brand-category/1465/6229/endresshauser-ph-and-orp-sensors</t>
  </si>
  <si>
    <t xml:space="preserve">Precio de transmisor Liquiline CM42</t>
  </si>
  <si>
    <t xml:space="preserve">https://www.instrumart.com/products/47567/eh-liquiline-m-cm42-transmitter</t>
  </si>
  <si>
    <t xml:space="preserve">Rangos de precio de robots delta y de paletizado</t>
  </si>
  <si>
    <t xml:space="preserve">EVS Robot, Industrial Robot Price 2026</t>
  </si>
  <si>
    <t xml:space="preserve">https://www.evsrobot.com/industrial-robot-price-2026-cost-breakdown-roi-quote-guide.html</t>
  </si>
  <si>
    <t xml:space="preserve">Costos de celdas de paletizado, herramientas y mantenimiento</t>
  </si>
  <si>
    <t xml:space="preserve">Standard Bots, Robotic palletizing cost 2026</t>
  </si>
  <si>
    <t xml:space="preserve">https://standardbots.com/blog/robotic-palletizing-cost</t>
  </si>
  <si>
    <t xml:space="preserve">Costo total de SCADA en plantas de 3 líneas (referencia)</t>
  </si>
  <si>
    <t xml:space="preserve">Anexee, SCADA pricing 2026</t>
  </si>
  <si>
    <t xml:space="preserve">https://www.anexee.com/blog/unlimited-tag-vs-subscription-scada-pricing-2026</t>
  </si>
  <si>
    <t xml:space="preserve">Costo de capital por industria (Food Processing)</t>
  </si>
  <si>
    <t xml:space="preserve">Damodaran, ene. 2026</t>
  </si>
  <si>
    <t xml:space="preserve">https://pages.stern.nyu.edu/~adamodar/New_Home_Page/datafile/wacc.html</t>
  </si>
  <si>
    <t xml:space="preserve">Prima de riesgo país Colombia y tasa de renta</t>
  </si>
  <si>
    <t xml:space="preserve">https://pages.stern.nyu.edu/~adamodar/New_Home_Page/datafile/ctryprem.html</t>
  </si>
  <si>
    <t xml:space="preserve">Tasa libre de riesgo y prima de mercado</t>
  </si>
  <si>
    <t xml:space="preserve">Damodaran, Historical Implied ERP</t>
  </si>
  <si>
    <t xml:space="preserve">https://pages.stern.nyu.edu/~adamodar/New_Home_Page/datafile/histimpl.html</t>
  </si>
  <si>
    <t xml:space="preserve">Tasa de política e inflación</t>
  </si>
  <si>
    <t xml:space="preserve">Banco de la República, decisión de sept. 2026</t>
  </si>
  <si>
    <t xml:space="preserve">https://www.banrep.gov.co/en/news/board-directors/september-2026</t>
  </si>
  <si>
    <t xml:space="preserve">Precio de la leche al productor</t>
  </si>
  <si>
    <t xml:space="preserve">Agronegocios (mayo 2026)</t>
  </si>
  <si>
    <t xml:space="preserve">https://www.agronegocios.co/mercados/boyaca-y-cundinamarca-consolidan-el-precio-de-leche-mas-alto-con-2-134-el-litro-4393823</t>
  </si>
  <si>
    <t xml:space="preserve">Precio de yogur 1 kg (referencia de techo)</t>
  </si>
  <si>
    <t xml:space="preserve">Alpina</t>
  </si>
  <si>
    <t xml:space="preserve">https://alpina.com/yogurt-original-alpina-fresa-botella-1000-g</t>
  </si>
  <si>
    <t xml:space="preserve">Precio de yogur griego 1 kg</t>
  </si>
  <si>
    <t xml:space="preserve">Euro Supermercados</t>
  </si>
  <si>
    <t xml:space="preserve">https://www.eurosupermercados.com.co/yogurt-griego-alpina-natural-1000gr-71d/p</t>
  </si>
  <si>
    <t xml:space="preserve">Ingresos de Lácteos Pomar 2022</t>
  </si>
  <si>
    <t xml:space="preserve">Las2orillas</t>
  </si>
  <si>
    <t xml:space="preserve">https://www.las2orillas.co/el-aleman-que-se-quedo-en-colombia-y-fundo-lacteos-pomar-una-empresa-para-competirle-a-alpina/</t>
  </si>
  <si>
    <t xml:space="preserve">Metodología PM4R (7 pasos)</t>
  </si>
  <si>
    <t xml:space="preserve">BID, Guía de la Metodología PM4R</t>
  </si>
  <si>
    <t xml:space="preserve">https://connectamericas.com/sites/default/files/articles_files/Gu%C3%ADa%20Metodolog%C3%ADa%20PM4R.pdf</t>
  </si>
  <si>
    <t xml:space="preserve">Arancel 0 % para bienes de capital no producidos (Decreto 272 de 2018) y subpartidas restablecidas</t>
  </si>
  <si>
    <t xml:space="preserve">DIAN, normograma: Decreto 324 de 2024</t>
  </si>
  <si>
    <t xml:space="preserve">https://normograma.dian.gov.co/dian/compilacion/docs/decreto_0324_2024.htm</t>
  </si>
  <si>
    <t xml:space="preserve">Tiempo de importación en Colombia (cumplimiento fronterizo y documental)</t>
  </si>
  <si>
    <t xml:space="preserve">Banco Mundial vía IndexMundi</t>
  </si>
  <si>
    <t xml:space="preserve">https://www.indexmundi.com/facts/colombia/time-to-import</t>
  </si>
  <si>
    <t xml:space="preserve">Tránsito marítimo y fletes hacia Cartagena</t>
  </si>
  <si>
    <t xml:space="preserve">iContainers (oct. 2026)</t>
  </si>
  <si>
    <t xml:space="preserve">https://icontainers.com/ship-container/cartagena</t>
  </si>
  <si>
    <t xml:space="preserve">Flete terrestre Cartagena–Bogotá por contenedor</t>
  </si>
  <si>
    <t xml:space="preserve">Mundo Marítimo (2019)</t>
  </si>
  <si>
    <t xml:space="preserve">https://www.mundomaritimo.cl/noticias/editor/35115</t>
  </si>
  <si>
    <t xml:space="preserve">Agencia de aduanas obligatoria y requisitos de importación</t>
  </si>
  <si>
    <t xml:space="preserve">trade.gov, Colombia Country Commercial Guide</t>
  </si>
  <si>
    <t xml:space="preserve">https://www.trade.gov/country-commercial-guides/colombia-customs-regulations</t>
  </si>
  <si>
    <t xml:space="preserve">Coberturas de la póliza todo riesgo montaje</t>
  </si>
  <si>
    <t xml:space="preserve">BBVA Seguros Colombia (2026)</t>
  </si>
  <si>
    <t xml:space="preserve">https://www.bbva.com.co/content/dam/public-web/colombia/documents/empresas/seguros/2026/Condiciones-Polizas-endosadas-Seguro-Todo-Riesgo-Montaje.pdf</t>
  </si>
  <si>
    <t xml:space="preserve">Precio mayorista de queso campesino en Bogotá (SIPSA-DANE)</t>
  </si>
  <si>
    <t xml:space="preserve">Agronegocios (oct. 2026)</t>
  </si>
  <si>
    <t xml:space="preserve">https://www.agronegocios.co/precios/queso-campesino/andina/cundinamarca/bogota</t>
  </si>
  <si>
    <t xml:space="preserve">Precio mayorista de queso doble crema en Bogotá (SIPSA-DANE)</t>
  </si>
  <si>
    <t xml:space="preserve">https://www.agronegocios.co/precios/queso-doble-crema/andina/cundinamarca/bogota</t>
  </si>
  <si>
    <t xml:space="preserve">Precios de leche en bolsa y en caja de 1 L</t>
  </si>
  <si>
    <t xml:space="preserve">El Tiempo (junio de 2022)</t>
  </si>
  <si>
    <t xml:space="preserve">https://www.eltiempo.com/economia/finanzas-personales/cuanto-vale-un-litro-de-leche-en-colombia-no-es-lo-que-dijo-petro-679961</t>
  </si>
  <si>
    <t xml:space="preserve">Precio de bebida achocolatada de 200 mL (referencia premium)</t>
  </si>
  <si>
    <t xml:space="preserve">Farmatodo: Alpin de Alpina</t>
  </si>
  <si>
    <t xml:space="preserve">https://www.farmatodo.com.co/producto/1004695-leche-alpina-alpin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</si>
</sst>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#,##0;\(#,##0\);\-"/>
    <numFmt numFmtId="166" formatCode="&quot;US$&quot;#,##0;&quot;(US$&quot;#,##0\);\-"/>
    <numFmt numFmtId="167" formatCode="0.0%;\(0.0%\);\-"/>
    <numFmt numFmtId="168" formatCode="0.00"/>
    <numFmt numFmtId="169" formatCode="0.00\x"/>
    <numFmt numFmtId="170" formatCode="0.00%"/>
    <numFmt numFmtId="171" formatCode="0.000"/>
    <numFmt numFmtId="172" formatCode="0"/>
    <numFmt numFmtId="173" formatCode="0.0%"/>
    <numFmt numFmtId="174" formatCode="#,##0"/>
    <numFmt numFmtId="175" formatCode="0.0"/>
    <numFmt numFmtId="176" formatCode="0%"/>
    <numFmt numFmtId="177" formatCode="#,##0.###"/>
    <numFmt numFmtId="178" formatCode="#,##0.0"/>
    <numFmt numFmtId="179" formatCode="dd/mm/yyyy"/>
    <numFmt numFmtId="180" formatCode="General"/>
    <numFmt numFmtId="181" formatCode="0&quot; kW&quot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7"/>
      <color rgb="FFFFFFFF"/>
      <name val="Arial"/>
      <family val="0"/>
      <charset val="1"/>
    </font>
    <font>
      <sz val="6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E8EEF5"/>
        <bgColor rgb="FFEAEDED"/>
      </patternFill>
    </fill>
    <fill>
      <patternFill patternType="solid">
        <fgColor rgb="FFFFFF00"/>
        <bgColor rgb="FFFFFF00"/>
      </patternFill>
    </fill>
    <fill>
      <patternFill patternType="solid">
        <fgColor rgb="FFD9E2EC"/>
        <bgColor rgb="FFD9D9D9"/>
      </patternFill>
    </fill>
    <fill>
      <patternFill patternType="solid">
        <fgColor rgb="FFABEBC6"/>
        <bgColor rgb="FFAED6F1"/>
      </patternFill>
    </fill>
    <fill>
      <patternFill patternType="solid">
        <fgColor rgb="FFFAD7A0"/>
        <bgColor rgb="FFF5B7B1"/>
      </patternFill>
    </fill>
    <fill>
      <patternFill patternType="solid">
        <fgColor rgb="FFF5B7B1"/>
        <bgColor rgb="FFFAD7A0"/>
      </patternFill>
    </fill>
    <fill>
      <patternFill patternType="solid">
        <fgColor rgb="FFFCF3CF"/>
        <bgColor rgb="FFEAEDED"/>
      </patternFill>
    </fill>
    <fill>
      <patternFill patternType="solid">
        <fgColor rgb="FFEAEDED"/>
        <bgColor rgb="FFE8EEF5"/>
      </patternFill>
    </fill>
    <fill>
      <patternFill patternType="solid">
        <fgColor rgb="FFAED6F1"/>
        <bgColor rgb="FFB7C2CE"/>
      </patternFill>
    </fill>
    <fill>
      <patternFill patternType="solid">
        <fgColor rgb="FFFFFFFF"/>
        <bgColor rgb="FFFCF3C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2CE"/>
      </left>
      <right style="thin">
        <color rgb="FFB7C2CE"/>
      </right>
      <top style="thin">
        <color rgb="FFB7C2CE"/>
      </top>
      <bottom style="thin">
        <color rgb="FFB7C2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9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color rgb="FFC0392B"/>
      </font>
      <fill>
        <patternFill>
          <bgColor rgb="FFC0392B"/>
        </patternFill>
      </fill>
    </dxf>
    <dxf>
      <font>
        <color rgb="FF5B8DB8"/>
      </font>
      <fill>
        <patternFill>
          <bgColor rgb="FF5B8DB8"/>
        </patternFill>
      </fill>
    </dxf>
    <dxf>
      <font>
        <color rgb="FFF1C40F"/>
      </font>
      <fill>
        <patternFill>
          <bgColor rgb="FFF1C40F"/>
        </patternFill>
      </fill>
    </dxf>
    <dxf>
      <fill>
        <patternFill>
          <bgColor rgb="FFF5B7B1"/>
        </patternFill>
      </fill>
    </dxf>
    <dxf>
      <fill>
        <patternFill>
          <bgColor rgb="FFFAD7A0"/>
        </patternFill>
      </fill>
    </dxf>
    <dxf>
      <fill>
        <patternFill>
          <bgColor rgb="FFABEBC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2CE"/>
      <rgbColor rgb="FF878787"/>
      <rgbColor rgb="FF9999FF"/>
      <rgbColor rgb="FF993366"/>
      <rgbColor rgb="FFFCF3CF"/>
      <rgbColor rgb="FFE8EEF5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DED"/>
      <rgbColor rgb="FFABEBC6"/>
      <rgbColor rgb="FFD9E2EC"/>
      <rgbColor rgb="FFAED6F1"/>
      <rgbColor rgb="FFF5B7B1"/>
      <rgbColor rgb="FFCC99FF"/>
      <rgbColor rgb="FFFAD7A0"/>
      <rgbColor rgb="FF4F81BD"/>
      <rgbColor rgb="FF33CCCC"/>
      <rgbColor rgb="FF99CC00"/>
      <rgbColor rgb="FFF1C40F"/>
      <rgbColor rgb="FFFF9900"/>
      <rgbColor rgb="FFFF6600"/>
      <rgbColor rgb="FF4A7EBB"/>
      <rgbColor rgb="FF5B8DB8"/>
      <rgbColor rgb="FF1F3A5F"/>
      <rgbColor rgb="FF339966"/>
      <rgbColor rgb="FF003300"/>
      <rgbColor rgb="FF333300"/>
      <rgbColor rgb="FFC0392B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S — valor planificado acumulado (COP)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Curva_S!$C$4:$N$4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Curva_S!$C$44:$N$44</c:f>
              <c:numCache>
                <c:formatCode>#,##0;\(#,##0\);\-</c:formatCode>
                <c:ptCount val="12"/>
                <c:pt idx="0">
                  <c:v>134291497.975708</c:v>
                </c:pt>
                <c:pt idx="1">
                  <c:v>309079308.849046</c:v>
                </c:pt>
                <c:pt idx="2">
                  <c:v>656672632.400289</c:v>
                </c:pt>
                <c:pt idx="3">
                  <c:v>2379402680.9132</c:v>
                </c:pt>
                <c:pt idx="4">
                  <c:v>4063842947.42474</c:v>
                </c:pt>
                <c:pt idx="5">
                  <c:v>5767777141.06179</c:v>
                </c:pt>
                <c:pt idx="6">
                  <c:v>6856496594.46781</c:v>
                </c:pt>
                <c:pt idx="7">
                  <c:v>8020249868.31013</c:v>
                </c:pt>
                <c:pt idx="8">
                  <c:v>8363469335.2467</c:v>
                </c:pt>
                <c:pt idx="9">
                  <c:v>8457599733.35736</c:v>
                </c:pt>
                <c:pt idx="10">
                  <c:v>8521586744.15358</c:v>
                </c:pt>
                <c:pt idx="11">
                  <c:v>8525918727.95925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583755"/>
        <c:axId val="52057206"/>
      </c:lineChart>
      <c:catAx>
        <c:axId val="875837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 del proyecto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57206"/>
        <c:crosses val="autoZero"/>
        <c:auto val="1"/>
        <c:lblAlgn val="ctr"/>
        <c:lblOffset val="100"/>
        <c:noMultiLvlLbl val="0"/>
      </c:catAx>
      <c:valAx>
        <c:axId val="520572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837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Flujo de caja libre y acumulado de Pomar (COP)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Flujo_Pomar!$B$4:$I$4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Flujo_Pomar!$B$26:$I$26</c:f>
              <c:numCache>
                <c:formatCode>#,##0;\(#,##0\);\-</c:formatCode>
                <c:ptCount val="8"/>
                <c:pt idx="0">
                  <c:v>-9227233233.78764</c:v>
                </c:pt>
                <c:pt idx="1">
                  <c:v>2541123740.01797</c:v>
                </c:pt>
                <c:pt idx="2">
                  <c:v>5273373853.99786</c:v>
                </c:pt>
                <c:pt idx="3">
                  <c:v>6056647090.41439</c:v>
                </c:pt>
                <c:pt idx="4">
                  <c:v>6285152117.72759</c:v>
                </c:pt>
                <c:pt idx="5">
                  <c:v>6522797346.13332</c:v>
                </c:pt>
                <c:pt idx="6">
                  <c:v>6678719879.46358</c:v>
                </c:pt>
                <c:pt idx="7">
                  <c:v>8718455003.56513</c:v>
                </c:pt>
              </c:numCache>
            </c:numRef>
          </c:val>
        </c:ser>
        <c:gapWidth val="150"/>
        <c:overlap val="0"/>
        <c:axId val="14086852"/>
        <c:axId val="72388224"/>
      </c:barChart>
      <c:catAx>
        <c:axId val="140868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88224"/>
        <c:crosses val="autoZero"/>
        <c:auto val="1"/>
        <c:lblAlgn val="ctr"/>
        <c:lblOffset val="100"/>
        <c:noMultiLvlLbl val="0"/>
      </c:catAx>
      <c:valAx>
        <c:axId val="723882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868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44</xdr:row>
      <xdr:rowOff>170280</xdr:rowOff>
    </xdr:from>
    <xdr:to>
      <xdr:col>6</xdr:col>
      <xdr:colOff>448200</xdr:colOff>
      <xdr:row>61</xdr:row>
      <xdr:rowOff>171000</xdr:rowOff>
    </xdr:to>
    <xdr:graphicFrame>
      <xdr:nvGraphicFramePr>
        <xdr:cNvPr id="0" name="Chart 1"/>
        <xdr:cNvGraphicFramePr/>
      </xdr:nvGraphicFramePr>
      <xdr:xfrm>
        <a:off x="493560" y="9104760"/>
        <a:ext cx="79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30</xdr:row>
      <xdr:rowOff>160560</xdr:rowOff>
    </xdr:from>
    <xdr:to>
      <xdr:col>9</xdr:col>
      <xdr:colOff>9720</xdr:colOff>
      <xdr:row>44</xdr:row>
      <xdr:rowOff>167040</xdr:rowOff>
    </xdr:to>
    <xdr:graphicFrame>
      <xdr:nvGraphicFramePr>
        <xdr:cNvPr id="1" name="Chart 1"/>
        <xdr:cNvGraphicFramePr/>
      </xdr:nvGraphicFramePr>
      <xdr:xfrm>
        <a:off x="6484680" y="5904000"/>
        <a:ext cx="7199280" cy="287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https://www.noticiascaracol.com/economia/precio-del-dolar-hoy-5-de-octubre-de-2026-en-colombia-asi-abrio-la-trm-este-lunes-so35" TargetMode="External"/><Relationship Id="rId2" Type="http://schemas.openxmlformats.org/officeDocument/2006/relationships/hyperlink" Target="https://www.hklaw.com/en/insights/publications/2025/12/colombia-decreta-aumento-del-salario-minimo-y-auxilio-de-transporte" TargetMode="External"/><Relationship Id="rId3" Type="http://schemas.openxmlformats.org/officeDocument/2006/relationships/hyperlink" Target="https://calcucolombia.co/blog/tabla-prestaciones-sociales-2026-porcentajes" TargetMode="External"/><Relationship Id="rId4" Type="http://schemas.openxmlformats.org/officeDocument/2006/relationships/hyperlink" Target="https://co.indeed.com/career/ingeniero-de-automatizaci&#243;n/salaries" TargetMode="External"/><Relationship Id="rId5" Type="http://schemas.openxmlformats.org/officeDocument/2006/relationships/hyperlink" Target="https://co.indeed.com/career/gerente-de-proyectos/salaries" TargetMode="External"/><Relationship Id="rId6" Type="http://schemas.openxmlformats.org/officeDocument/2006/relationships/hyperlink" Target="https://co.indeed.com/career/ingeniero-en-mecatr&#243;nica/salaries" TargetMode="External"/><Relationship Id="rId7" Type="http://schemas.openxmlformats.org/officeDocument/2006/relationships/hyperlink" Target="https://inductiveautomation.com/pricing/list" TargetMode="External"/><Relationship Id="rId8" Type="http://schemas.openxmlformats.org/officeDocument/2006/relationships/hyperlink" Target="https://www.sepasoft.com/pricing-mes/" TargetMode="External"/><Relationship Id="rId9" Type="http://schemas.openxmlformats.org/officeDocument/2006/relationships/hyperlink" Target="https://www.instrumart.com/brand-category/1465/5678/endresshauser-coriolis-mass-flow-meters" TargetMode="External"/><Relationship Id="rId10" Type="http://schemas.openxmlformats.org/officeDocument/2006/relationships/hyperlink" Target="https://www.instrumart.com/brand-category/1465/3049/endresshauser-flow-meters" TargetMode="External"/><Relationship Id="rId11" Type="http://schemas.openxmlformats.org/officeDocument/2006/relationships/hyperlink" Target="https://www.instrumart.com/products/47158/eh-itherm-tm411-rtd-thermometer" TargetMode="External"/><Relationship Id="rId12" Type="http://schemas.openxmlformats.org/officeDocument/2006/relationships/hyperlink" Target="https://www.instrumart.com/products/191109/eh-micropilot-fmr43-radar-sensor" TargetMode="External"/><Relationship Id="rId13" Type="http://schemas.openxmlformats.org/officeDocument/2006/relationships/hyperlink" Target="https://www.instrumart.com/brand-category/1465/6229/endresshauser-ph-and-orp-sensors" TargetMode="External"/><Relationship Id="rId14" Type="http://schemas.openxmlformats.org/officeDocument/2006/relationships/hyperlink" Target="https://www.instrumart.com/products/47567/eh-liquiline-m-cm42-transmitter" TargetMode="External"/><Relationship Id="rId15" Type="http://schemas.openxmlformats.org/officeDocument/2006/relationships/hyperlink" Target="https://www.evsrobot.com/industrial-robot-price-2026-cost-breakdown-roi-quote-guide.html" TargetMode="External"/><Relationship Id="rId16" Type="http://schemas.openxmlformats.org/officeDocument/2006/relationships/hyperlink" Target="https://standardbots.com/blog/robotic-palletizing-cost" TargetMode="External"/><Relationship Id="rId17" Type="http://schemas.openxmlformats.org/officeDocument/2006/relationships/hyperlink" Target="https://www.anexee.com/blog/unlimited-tag-vs-subscription-scada-pricing-2026" TargetMode="External"/><Relationship Id="rId18" Type="http://schemas.openxmlformats.org/officeDocument/2006/relationships/hyperlink" Target="https://pages.stern.nyu.edu/~adamodar/New_Home_Page/datafile/wacc.html" TargetMode="External"/><Relationship Id="rId19" Type="http://schemas.openxmlformats.org/officeDocument/2006/relationships/hyperlink" Target="https://pages.stern.nyu.edu/~adamodar/New_Home_Page/datafile/ctryprem.html" TargetMode="External"/><Relationship Id="rId20" Type="http://schemas.openxmlformats.org/officeDocument/2006/relationships/hyperlink" Target="https://pages.stern.nyu.edu/~adamodar/New_Home_Page/datafile/histimpl.html" TargetMode="External"/><Relationship Id="rId21" Type="http://schemas.openxmlformats.org/officeDocument/2006/relationships/hyperlink" Target="https://www.banrep.gov.co/en/news/board-directors/september-2026" TargetMode="External"/><Relationship Id="rId22" Type="http://schemas.openxmlformats.org/officeDocument/2006/relationships/hyperlink" Target="https://www.agronegocios.co/mercados/boyaca-y-cundinamarca-consolidan-el-precio-de-leche-mas-alto-con-2-134-el-litro-4393823" TargetMode="External"/><Relationship Id="rId23" Type="http://schemas.openxmlformats.org/officeDocument/2006/relationships/hyperlink" Target="https://alpina.com/yogurt-original-alpina-fresa-botella-1000-g" TargetMode="External"/><Relationship Id="rId24" Type="http://schemas.openxmlformats.org/officeDocument/2006/relationships/hyperlink" Target="https://www.eurosupermercados.com.co/yogurt-griego-alpina-natural-1000gr-71d/p" TargetMode="External"/><Relationship Id="rId25" Type="http://schemas.openxmlformats.org/officeDocument/2006/relationships/hyperlink" Target="https://www.las2orillas.co/el-aleman-que-se-quedo-en-colombia-y-fundo-lacteos-pomar-una-empresa-para-competirle-a-alpina/" TargetMode="External"/><Relationship Id="rId26" Type="http://schemas.openxmlformats.org/officeDocument/2006/relationships/hyperlink" Target="https://connectamericas.com/sites/default/files/articles_files/Gu&#237;a%20Metodolog&#237;a%20PM4R.pdf" TargetMode="External"/><Relationship Id="rId27" Type="http://schemas.openxmlformats.org/officeDocument/2006/relationships/hyperlink" Target="https://normograma.dian.gov.co/dian/compilacion/docs/decreto_0324_2024.htm" TargetMode="External"/><Relationship Id="rId28" Type="http://schemas.openxmlformats.org/officeDocument/2006/relationships/hyperlink" Target="https://www.indexmundi.com/facts/colombia/time-to-import" TargetMode="External"/><Relationship Id="rId29" Type="http://schemas.openxmlformats.org/officeDocument/2006/relationships/hyperlink" Target="https://icontainers.com/ship-container/cartagena" TargetMode="External"/><Relationship Id="rId30" Type="http://schemas.openxmlformats.org/officeDocument/2006/relationships/hyperlink" Target="https://www.mundomaritimo.cl/noticias/editor/35115" TargetMode="External"/><Relationship Id="rId31" Type="http://schemas.openxmlformats.org/officeDocument/2006/relationships/hyperlink" Target="https://www.trade.gov/country-commercial-guides/colombia-customs-regulations" TargetMode="External"/><Relationship Id="rId32" Type="http://schemas.openxmlformats.org/officeDocument/2006/relationships/hyperlink" Target="https://www.bbva.com.co/content/dam/public-web/colombia/documents/empresas/seguros/2026/Condiciones-Polizas-endosadas-Seguro-Todo-Riesgo-Montaje.pdf" TargetMode="External"/><Relationship Id="rId33" Type="http://schemas.openxmlformats.org/officeDocument/2006/relationships/hyperlink" Target="https://www.agronegocios.co/precios/queso-campesino/andina/cundinamarca/bogota" TargetMode="External"/><Relationship Id="rId34" Type="http://schemas.openxmlformats.org/officeDocument/2006/relationships/hyperlink" Target="https://www.agronegocios.co/precios/queso-doble-crema/andina/cundinamarca/bogota" TargetMode="External"/><Relationship Id="rId35" Type="http://schemas.openxmlformats.org/officeDocument/2006/relationships/hyperlink" Target="https://www.eltiempo.com/economia/finanzas-personales/cuanto-vale-un-litro-de-leche-en-colombia-no-es-lo-que-dijo-petro-679961" TargetMode="External"/><Relationship Id="rId36" Type="http://schemas.openxmlformats.org/officeDocument/2006/relationships/hyperlink" Target="https://www.farmatodo.com.co/producto/1004695-leche-alpina-alp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4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n">
        <f aca="false">Precio_Kuajo!$C$19</f>
        <v>8525918727.95925</v>
      </c>
      <c r="C5" s="7" t="s">
        <v>6</v>
      </c>
    </row>
    <row r="6" customFormat="false" ht="15" hidden="false" customHeight="true" outlineLevel="0" collapsed="false">
      <c r="A6" s="5" t="s">
        <v>7</v>
      </c>
      <c r="B6" s="8" t="n">
        <f aca="false">Precio_Kuajo!$C$19/Supuestos!$B$6</f>
        <v>2604534.83223081</v>
      </c>
      <c r="C6" s="7" t="s">
        <v>8</v>
      </c>
    </row>
    <row r="7" customFormat="false" ht="15" hidden="false" customHeight="true" outlineLevel="0" collapsed="false">
      <c r="A7" s="5" t="s">
        <v>9</v>
      </c>
      <c r="B7" s="6" t="n">
        <f aca="false">Cronograma!$G$44</f>
        <v>48</v>
      </c>
      <c r="C7" s="7" t="s">
        <v>10</v>
      </c>
    </row>
    <row r="8" customFormat="false" ht="15" hidden="false" customHeight="true" outlineLevel="0" collapsed="false">
      <c r="A8" s="5" t="s">
        <v>11</v>
      </c>
      <c r="B8" s="6" t="n">
        <f aca="false">Flujo_Pomar!$B$33</f>
        <v>15013917609.8275</v>
      </c>
      <c r="C8" s="7" t="s">
        <v>12</v>
      </c>
    </row>
    <row r="9" customFormat="false" ht="15" hidden="false" customHeight="true" outlineLevel="0" collapsed="false">
      <c r="A9" s="5" t="s">
        <v>13</v>
      </c>
      <c r="B9" s="9" t="n">
        <f aca="false">Flujo_Pomar!$B$35</f>
        <v>0.489633110528655</v>
      </c>
      <c r="C9" s="7" t="s">
        <v>14</v>
      </c>
    </row>
    <row r="10" customFormat="false" ht="15" hidden="false" customHeight="true" outlineLevel="0" collapsed="false">
      <c r="A10" s="5" t="s">
        <v>15</v>
      </c>
      <c r="B10" s="9" t="n">
        <f aca="false">Supuestos!$B$31</f>
        <v>0.137314075464878</v>
      </c>
      <c r="C10" s="7" t="s">
        <v>16</v>
      </c>
    </row>
    <row r="11" customFormat="false" ht="15" hidden="false" customHeight="true" outlineLevel="0" collapsed="false">
      <c r="A11" s="5" t="s">
        <v>17</v>
      </c>
      <c r="B11" s="10" t="n">
        <f aca="false">Flujo_Pomar!$B$36</f>
        <v>2.2332537489278</v>
      </c>
      <c r="C11" s="7"/>
    </row>
    <row r="12" customFormat="false" ht="15" hidden="false" customHeight="true" outlineLevel="0" collapsed="false">
      <c r="A12" s="5" t="s">
        <v>18</v>
      </c>
      <c r="B12" s="10" t="n">
        <f aca="false">Flujo_Pomar!$B$37</f>
        <v>2.70827464459832</v>
      </c>
      <c r="C12" s="7"/>
    </row>
    <row r="13" customFormat="false" ht="15" hidden="false" customHeight="true" outlineLevel="0" collapsed="false">
      <c r="A13" s="5" t="s">
        <v>19</v>
      </c>
      <c r="B13" s="9" t="n">
        <f aca="false">Sensibilidad!$M$16</f>
        <v>0.392996077306573</v>
      </c>
      <c r="C13" s="7" t="s">
        <v>20</v>
      </c>
    </row>
    <row r="14" customFormat="false" ht="15" hidden="false" customHeight="true" outlineLevel="0" collapsed="false">
      <c r="A14" s="5" t="s">
        <v>21</v>
      </c>
      <c r="B14" s="6" t="n">
        <f aca="false">Kuajo_PyG_Flujo!$B$56</f>
        <v>934528209.854293</v>
      </c>
      <c r="C14" s="7" t="s">
        <v>22</v>
      </c>
    </row>
    <row r="15" customFormat="false" ht="15" hidden="false" customHeight="true" outlineLevel="0" collapsed="false">
      <c r="A15" s="5" t="s">
        <v>23</v>
      </c>
      <c r="B15" s="9" t="n">
        <f aca="false">Kuajo_PyG_Flujo!$B$57</f>
        <v>0.109610264849191</v>
      </c>
      <c r="C15" s="7"/>
    </row>
    <row r="16" customFormat="false" ht="15" hidden="false" customHeight="true" outlineLevel="0" collapsed="false">
      <c r="A16" s="5" t="s">
        <v>24</v>
      </c>
      <c r="B16" s="6" t="n">
        <f aca="false">Kuajo_PyG_Flujo!$B$61</f>
        <v>940178668.076354</v>
      </c>
      <c r="C16" s="7"/>
    </row>
    <row r="17" customFormat="false" ht="15" hidden="false" customHeight="true" outlineLevel="0" collapsed="false">
      <c r="A17" s="5" t="s">
        <v>25</v>
      </c>
      <c r="B17" s="6" t="n">
        <f aca="false">Kuajo_PyG_Flujo!$B$62</f>
        <v>-1316122472.80517</v>
      </c>
      <c r="C17" s="7" t="s">
        <v>26</v>
      </c>
    </row>
    <row r="18" customFormat="false" ht="15" hidden="false" customHeight="true" outlineLevel="0" collapsed="false">
      <c r="A18" s="5" t="s">
        <v>27</v>
      </c>
      <c r="B18" s="11" t="n">
        <f aca="false">Riesgos!$L$20</f>
        <v>1.22775610698857</v>
      </c>
      <c r="C18" s="7" t="s">
        <v>28</v>
      </c>
    </row>
    <row r="19" customFormat="false" ht="15" hidden="false" customHeight="false" outlineLevel="0" collapsed="false">
      <c r="A19" s="5" t="s">
        <v>29</v>
      </c>
      <c r="B19" s="6" t="n">
        <f aca="false">Kuajo_PyG_Flujo!$B$63</f>
        <v>1316122472.80517</v>
      </c>
      <c r="C19" s="1" t="s">
        <v>30</v>
      </c>
    </row>
    <row r="20" customFormat="false" ht="15" hidden="false" customHeight="true" outlineLevel="0" collapsed="false">
      <c r="A20" s="12" t="s">
        <v>31</v>
      </c>
      <c r="B20" s="13"/>
      <c r="C20" s="13"/>
    </row>
    <row r="21" customFormat="false" ht="15" hidden="false" customHeight="true" outlineLevel="0" collapsed="false">
      <c r="A21" s="7" t="s">
        <v>32</v>
      </c>
      <c r="B21" s="7" t="s">
        <v>33</v>
      </c>
      <c r="C21" s="7"/>
    </row>
    <row r="22" customFormat="false" ht="15" hidden="false" customHeight="true" outlineLevel="0" collapsed="false">
      <c r="A22" s="7" t="s">
        <v>34</v>
      </c>
      <c r="B22" s="7" t="s">
        <v>35</v>
      </c>
      <c r="C22" s="7"/>
    </row>
    <row r="23" customFormat="false" ht="15" hidden="false" customHeight="true" outlineLevel="0" collapsed="false">
      <c r="A23" s="7" t="s">
        <v>36</v>
      </c>
      <c r="B23" s="7" t="s">
        <v>37</v>
      </c>
      <c r="C23" s="7"/>
    </row>
    <row r="24" customFormat="false" ht="15" hidden="false" customHeight="true" outlineLevel="0" collapsed="false">
      <c r="A24" s="7" t="s">
        <v>38</v>
      </c>
      <c r="B24" s="7" t="s">
        <v>39</v>
      </c>
      <c r="C24" s="7"/>
    </row>
    <row r="25" customFormat="false" ht="15" hidden="false" customHeight="true" outlineLevel="0" collapsed="false">
      <c r="A25" s="7" t="s">
        <v>40</v>
      </c>
      <c r="B25" s="7" t="s">
        <v>41</v>
      </c>
      <c r="C25" s="7"/>
    </row>
    <row r="26" customFormat="false" ht="15" hidden="false" customHeight="true" outlineLevel="0" collapsed="false">
      <c r="A26" s="7" t="s">
        <v>42</v>
      </c>
      <c r="B26" s="7" t="s">
        <v>43</v>
      </c>
      <c r="C26" s="7"/>
    </row>
    <row r="27" customFormat="false" ht="15" hidden="false" customHeight="true" outlineLevel="0" collapsed="false">
      <c r="A27" s="7" t="s">
        <v>44</v>
      </c>
      <c r="B27" s="7" t="s">
        <v>45</v>
      </c>
      <c r="C27" s="7"/>
    </row>
    <row r="28" customFormat="false" ht="15" hidden="false" customHeight="true" outlineLevel="0" collapsed="false">
      <c r="A28" s="7" t="s">
        <v>46</v>
      </c>
      <c r="B28" s="7" t="s">
        <v>47</v>
      </c>
      <c r="C28" s="7"/>
    </row>
    <row r="29" customFormat="false" ht="15" hidden="false" customHeight="true" outlineLevel="0" collapsed="false">
      <c r="A29" s="7" t="s">
        <v>48</v>
      </c>
      <c r="B29" s="7" t="s">
        <v>49</v>
      </c>
      <c r="C29" s="7"/>
    </row>
    <row r="30" customFormat="false" ht="15" hidden="false" customHeight="true" outlineLevel="0" collapsed="false">
      <c r="A30" s="7" t="s">
        <v>50</v>
      </c>
      <c r="B30" s="7" t="s">
        <v>51</v>
      </c>
      <c r="C30" s="7"/>
    </row>
    <row r="31" customFormat="false" ht="15" hidden="false" customHeight="true" outlineLevel="0" collapsed="false">
      <c r="A31" s="7" t="s">
        <v>52</v>
      </c>
      <c r="B31" s="7" t="s">
        <v>53</v>
      </c>
      <c r="C31" s="7"/>
    </row>
    <row r="32" customFormat="false" ht="15" hidden="false" customHeight="true" outlineLevel="0" collapsed="false">
      <c r="A32" s="7" t="s">
        <v>54</v>
      </c>
      <c r="B32" s="7" t="s">
        <v>55</v>
      </c>
      <c r="C32" s="7"/>
    </row>
    <row r="33" customFormat="false" ht="15" hidden="false" customHeight="true" outlineLevel="0" collapsed="false">
      <c r="A33" s="7" t="s">
        <v>56</v>
      </c>
      <c r="B33" s="7" t="s">
        <v>57</v>
      </c>
      <c r="C33" s="7"/>
    </row>
    <row r="34" customFormat="false" ht="15" hidden="false" customHeight="true" outlineLevel="0" collapsed="false">
      <c r="A34" s="7" t="s">
        <v>58</v>
      </c>
      <c r="B34" s="7" t="s">
        <v>59</v>
      </c>
      <c r="C34" s="7"/>
    </row>
    <row r="35" customFormat="false" ht="15" hidden="false" customHeight="true" outlineLevel="0" collapsed="false">
      <c r="A35" s="7" t="s">
        <v>60</v>
      </c>
      <c r="B35" s="7" t="s">
        <v>61</v>
      </c>
      <c r="C35" s="7"/>
    </row>
    <row r="36" customFormat="false" ht="15" hidden="false" customHeight="true" outlineLevel="0" collapsed="false">
      <c r="A36" s="7" t="s">
        <v>62</v>
      </c>
      <c r="B36" s="7" t="s">
        <v>63</v>
      </c>
      <c r="C36" s="7"/>
    </row>
    <row r="37" customFormat="false" ht="15" hidden="false" customHeight="true" outlineLevel="0" collapsed="false">
      <c r="A37" s="7" t="s">
        <v>64</v>
      </c>
      <c r="B37" s="7" t="s">
        <v>65</v>
      </c>
      <c r="C37" s="7"/>
    </row>
    <row r="38" customFormat="false" ht="15" hidden="false" customHeight="true" outlineLevel="0" collapsed="false">
      <c r="A38" s="7" t="s">
        <v>66</v>
      </c>
      <c r="B38" s="7" t="s">
        <v>67</v>
      </c>
      <c r="C38" s="7"/>
    </row>
    <row r="39" customFormat="false" ht="15" hidden="false" customHeight="true" outlineLevel="0" collapsed="false">
      <c r="A39" s="7" t="s">
        <v>68</v>
      </c>
      <c r="B39" s="7" t="s">
        <v>69</v>
      </c>
      <c r="C39" s="7"/>
    </row>
    <row r="40" customFormat="false" ht="15" hidden="false" customHeight="true" outlineLevel="0" collapsed="false">
      <c r="A40" s="7" t="s">
        <v>70</v>
      </c>
      <c r="B40" s="7" t="s">
        <v>71</v>
      </c>
      <c r="C40" s="7"/>
    </row>
    <row r="41" customFormat="false" ht="46.25" hidden="false" customHeight="false" outlineLevel="0" collapsed="false">
      <c r="A41" s="7" t="s">
        <v>72</v>
      </c>
      <c r="B41" s="7" t="s">
        <v>73</v>
      </c>
    </row>
    <row r="42" customFormat="false" ht="32.25" hidden="false" customHeight="true" outlineLevel="0" collapsed="false">
      <c r="A42" s="7" t="s">
        <v>74</v>
      </c>
      <c r="B42" s="7" t="s">
        <v>75</v>
      </c>
    </row>
    <row r="43" customFormat="false" ht="15" hidden="false" customHeight="false" outlineLevel="0" collapsed="false">
      <c r="A43" s="14" t="s">
        <v>76</v>
      </c>
    </row>
  </sheetData>
  <mergeCells count="20"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90"/>
  </cols>
  <sheetData>
    <row r="1" customFormat="false" ht="17.25" hidden="false" customHeight="true" outlineLevel="0" collapsed="false">
      <c r="A1" s="2" t="s">
        <v>77</v>
      </c>
    </row>
    <row r="2" customFormat="false" ht="15" hidden="false" customHeight="true" outlineLevel="0" collapsed="false">
      <c r="A2" s="3" t="s">
        <v>78</v>
      </c>
    </row>
    <row r="4" customFormat="false" ht="15" hidden="false" customHeight="true" outlineLevel="0" collapsed="false">
      <c r="A4" s="4" t="s">
        <v>79</v>
      </c>
      <c r="B4" s="4" t="s">
        <v>3</v>
      </c>
      <c r="C4" s="4" t="s">
        <v>80</v>
      </c>
      <c r="D4" s="4" t="s">
        <v>81</v>
      </c>
    </row>
    <row r="5" customFormat="false" ht="15" hidden="false" customHeight="true" outlineLevel="0" collapsed="false">
      <c r="A5" s="12" t="s">
        <v>82</v>
      </c>
      <c r="B5" s="13"/>
      <c r="C5" s="13"/>
      <c r="D5" s="13"/>
    </row>
    <row r="6" customFormat="false" ht="15" hidden="false" customHeight="true" outlineLevel="0" collapsed="false">
      <c r="A6" s="7" t="s">
        <v>83</v>
      </c>
      <c r="B6" s="15" t="n">
        <v>3273.49</v>
      </c>
      <c r="C6" s="7" t="s">
        <v>84</v>
      </c>
      <c r="D6" s="7" t="s">
        <v>85</v>
      </c>
    </row>
    <row r="7" customFormat="false" ht="15" hidden="false" customHeight="true" outlineLevel="0" collapsed="false">
      <c r="A7" s="7" t="s">
        <v>86</v>
      </c>
      <c r="B7" s="16" t="n">
        <v>0.04</v>
      </c>
      <c r="C7" s="7" t="s">
        <v>87</v>
      </c>
      <c r="D7" s="7" t="s">
        <v>88</v>
      </c>
    </row>
    <row r="8" customFormat="false" ht="15" hidden="false" customHeight="true" outlineLevel="0" collapsed="false">
      <c r="A8" s="7" t="s">
        <v>89</v>
      </c>
      <c r="B8" s="16" t="n">
        <v>0.025</v>
      </c>
      <c r="C8" s="7" t="s">
        <v>87</v>
      </c>
      <c r="D8" s="7" t="s">
        <v>90</v>
      </c>
    </row>
    <row r="9" customFormat="false" ht="15" hidden="false" customHeight="true" outlineLevel="0" collapsed="false">
      <c r="A9" s="7" t="s">
        <v>91</v>
      </c>
      <c r="B9" s="17" t="n">
        <v>0.1225</v>
      </c>
      <c r="C9" s="7" t="s">
        <v>87</v>
      </c>
      <c r="D9" s="7" t="s">
        <v>92</v>
      </c>
    </row>
    <row r="10" customFormat="false" ht="15" hidden="false" customHeight="true" outlineLevel="0" collapsed="false">
      <c r="A10" s="7" t="s">
        <v>93</v>
      </c>
      <c r="B10" s="16" t="n">
        <v>0.35</v>
      </c>
      <c r="C10" s="7" t="s">
        <v>94</v>
      </c>
      <c r="D10" s="7" t="s">
        <v>95</v>
      </c>
    </row>
    <row r="11" customFormat="false" ht="23.25" hidden="false" customHeight="true" outlineLevel="0" collapsed="false">
      <c r="A11" s="12" t="s">
        <v>96</v>
      </c>
      <c r="B11" s="13"/>
      <c r="C11" s="13"/>
      <c r="D11" s="13"/>
    </row>
    <row r="12" customFormat="false" ht="23.25" hidden="false" customHeight="true" outlineLevel="0" collapsed="false">
      <c r="A12" s="7" t="s">
        <v>97</v>
      </c>
      <c r="B12" s="16" t="n">
        <v>0.03</v>
      </c>
      <c r="C12" s="7" t="s">
        <v>98</v>
      </c>
      <c r="D12" s="7" t="s">
        <v>99</v>
      </c>
    </row>
    <row r="13" customFormat="false" ht="15" hidden="false" customHeight="true" outlineLevel="0" collapsed="false">
      <c r="A13" s="7" t="s">
        <v>100</v>
      </c>
      <c r="B13" s="16" t="n">
        <v>0.005</v>
      </c>
      <c r="C13" s="7" t="s">
        <v>98</v>
      </c>
      <c r="D13" s="7" t="s">
        <v>101</v>
      </c>
    </row>
    <row r="14" customFormat="false" ht="23.25" hidden="false" customHeight="true" outlineLevel="0" collapsed="false">
      <c r="A14" s="7" t="s">
        <v>102</v>
      </c>
      <c r="B14" s="16" t="n">
        <v>0.015</v>
      </c>
      <c r="C14" s="7" t="s">
        <v>98</v>
      </c>
      <c r="D14" s="7" t="s">
        <v>103</v>
      </c>
    </row>
    <row r="15" customFormat="false" ht="23.25" hidden="false" customHeight="true" outlineLevel="0" collapsed="false">
      <c r="A15" s="7" t="s">
        <v>104</v>
      </c>
      <c r="B15" s="16" t="n">
        <v>0.015</v>
      </c>
      <c r="C15" s="7" t="s">
        <v>98</v>
      </c>
      <c r="D15" s="7" t="s">
        <v>105</v>
      </c>
    </row>
    <row r="16" customFormat="false" ht="45.75" hidden="false" customHeight="true" outlineLevel="0" collapsed="false">
      <c r="A16" s="7" t="s">
        <v>106</v>
      </c>
      <c r="B16" s="18" t="n">
        <v>0</v>
      </c>
      <c r="C16" s="7" t="s">
        <v>98</v>
      </c>
      <c r="D16" s="7" t="s">
        <v>107</v>
      </c>
    </row>
    <row r="17" customFormat="false" ht="23.25" hidden="false" customHeight="true" outlineLevel="0" collapsed="false">
      <c r="A17" s="7" t="s">
        <v>108</v>
      </c>
      <c r="B17" s="16" t="n">
        <v>0.015</v>
      </c>
      <c r="C17" s="7" t="s">
        <v>98</v>
      </c>
      <c r="D17" s="7" t="s">
        <v>109</v>
      </c>
    </row>
    <row r="18" customFormat="false" ht="15" hidden="false" customHeight="true" outlineLevel="0" collapsed="false">
      <c r="A18" s="7" t="s">
        <v>110</v>
      </c>
      <c r="B18" s="19" t="n">
        <f aca="false">B12+B13+B14+B15+B16+B17</f>
        <v>0.08</v>
      </c>
      <c r="C18" s="7" t="s">
        <v>111</v>
      </c>
      <c r="D18" s="7" t="s">
        <v>112</v>
      </c>
    </row>
    <row r="19" customFormat="false" ht="15" hidden="false" customHeight="true" outlineLevel="0" collapsed="false">
      <c r="A19" s="12" t="s">
        <v>113</v>
      </c>
      <c r="B19" s="13"/>
      <c r="C19" s="13"/>
      <c r="D19" s="13"/>
    </row>
    <row r="20" customFormat="false" ht="15" hidden="false" customHeight="true" outlineLevel="0" collapsed="false">
      <c r="A20" s="7" t="s">
        <v>114</v>
      </c>
      <c r="B20" s="17" t="n">
        <v>0.0418</v>
      </c>
      <c r="C20" s="7" t="s">
        <v>94</v>
      </c>
      <c r="D20" s="7" t="s">
        <v>115</v>
      </c>
    </row>
    <row r="21" customFormat="false" ht="15" hidden="false" customHeight="true" outlineLevel="0" collapsed="false">
      <c r="A21" s="7" t="s">
        <v>116</v>
      </c>
      <c r="B21" s="20" t="n">
        <v>0.61</v>
      </c>
      <c r="C21" s="7" t="s">
        <v>117</v>
      </c>
      <c r="D21" s="7" t="s">
        <v>118</v>
      </c>
    </row>
    <row r="22" customFormat="false" ht="15" hidden="false" customHeight="true" outlineLevel="0" collapsed="false">
      <c r="A22" s="7" t="s">
        <v>119</v>
      </c>
      <c r="B22" s="17" t="n">
        <v>0.0423</v>
      </c>
      <c r="C22" s="7" t="s">
        <v>94</v>
      </c>
      <c r="D22" s="7" t="s">
        <v>120</v>
      </c>
    </row>
    <row r="23" customFormat="false" ht="15" hidden="false" customHeight="true" outlineLevel="0" collapsed="false">
      <c r="A23" s="7" t="s">
        <v>121</v>
      </c>
      <c r="B23" s="17" t="n">
        <v>0.0285</v>
      </c>
      <c r="C23" s="7" t="s">
        <v>94</v>
      </c>
      <c r="D23" s="7" t="s">
        <v>122</v>
      </c>
    </row>
    <row r="24" customFormat="false" ht="15" hidden="false" customHeight="true" outlineLevel="0" collapsed="false">
      <c r="A24" s="7" t="s">
        <v>123</v>
      </c>
      <c r="B24" s="17" t="n">
        <v>0.3043</v>
      </c>
      <c r="C24" s="7" t="s">
        <v>94</v>
      </c>
      <c r="D24" s="7" t="s">
        <v>124</v>
      </c>
    </row>
    <row r="25" customFormat="false" ht="15" hidden="false" customHeight="true" outlineLevel="0" collapsed="false">
      <c r="A25" s="7" t="s">
        <v>125</v>
      </c>
      <c r="B25" s="16" t="n">
        <v>0.04</v>
      </c>
      <c r="C25" s="7" t="s">
        <v>94</v>
      </c>
      <c r="D25" s="7" t="s">
        <v>126</v>
      </c>
    </row>
    <row r="26" customFormat="false" ht="15" hidden="false" customHeight="true" outlineLevel="0" collapsed="false">
      <c r="A26" s="7" t="s">
        <v>127</v>
      </c>
      <c r="B26" s="21" t="n">
        <f aca="false">B20+B21*(B22+B23)</f>
        <v>0.084988</v>
      </c>
      <c r="C26" s="7" t="s">
        <v>94</v>
      </c>
      <c r="D26" s="7" t="s">
        <v>128</v>
      </c>
    </row>
    <row r="27" customFormat="false" ht="15" hidden="false" customHeight="true" outlineLevel="0" collapsed="false">
      <c r="A27" s="7" t="s">
        <v>129</v>
      </c>
      <c r="B27" s="21" t="n">
        <f aca="false">(1+B26)*(1+B7)/(1+B8)-1</f>
        <v>0.100865873170732</v>
      </c>
      <c r="C27" s="7" t="s">
        <v>94</v>
      </c>
      <c r="D27" s="7" t="s">
        <v>130</v>
      </c>
    </row>
    <row r="28" customFormat="false" ht="15" hidden="false" customHeight="true" outlineLevel="0" collapsed="false">
      <c r="A28" s="7" t="s">
        <v>131</v>
      </c>
      <c r="B28" s="21" t="n">
        <f aca="false">(B9+B25)*(1-B10)</f>
        <v>0.105625</v>
      </c>
      <c r="C28" s="7" t="s">
        <v>94</v>
      </c>
      <c r="D28" s="7" t="s">
        <v>132</v>
      </c>
    </row>
    <row r="29" customFormat="false" ht="15" hidden="false" customHeight="true" outlineLevel="0" collapsed="false">
      <c r="A29" s="7" t="s">
        <v>133</v>
      </c>
      <c r="B29" s="21" t="n">
        <f aca="false">(1-B24)*B27+B24*B28</f>
        <v>0.102314075464878</v>
      </c>
      <c r="C29" s="7" t="s">
        <v>94</v>
      </c>
      <c r="D29" s="7" t="s">
        <v>134</v>
      </c>
    </row>
    <row r="30" customFormat="false" ht="15" hidden="false" customHeight="true" outlineLevel="0" collapsed="false">
      <c r="A30" s="7" t="s">
        <v>135</v>
      </c>
      <c r="B30" s="18" t="n">
        <v>0.035</v>
      </c>
      <c r="C30" s="7" t="s">
        <v>94</v>
      </c>
      <c r="D30" s="7" t="s">
        <v>136</v>
      </c>
    </row>
    <row r="31" customFormat="false" ht="15" hidden="false" customHeight="true" outlineLevel="0" collapsed="false">
      <c r="A31" s="7" t="s">
        <v>137</v>
      </c>
      <c r="B31" s="22" t="n">
        <f aca="false">B29+B30</f>
        <v>0.137314075464878</v>
      </c>
      <c r="C31" s="7" t="s">
        <v>94</v>
      </c>
      <c r="D31" s="7" t="s">
        <v>138</v>
      </c>
    </row>
    <row r="32" customFormat="false" ht="23.25" hidden="false" customHeight="true" outlineLevel="0" collapsed="false">
      <c r="A32" s="7" t="s">
        <v>139</v>
      </c>
      <c r="B32" s="18" t="n">
        <v>0.2</v>
      </c>
      <c r="C32" s="7" t="s">
        <v>140</v>
      </c>
      <c r="D32" s="7" t="s">
        <v>141</v>
      </c>
    </row>
    <row r="33" customFormat="false" ht="15" hidden="false" customHeight="true" outlineLevel="0" collapsed="false">
      <c r="A33" s="12" t="s">
        <v>142</v>
      </c>
      <c r="B33" s="13"/>
      <c r="C33" s="13"/>
      <c r="D33" s="13"/>
    </row>
    <row r="34" customFormat="false" ht="15" hidden="false" customHeight="true" outlineLevel="0" collapsed="false">
      <c r="A34" s="7" t="s">
        <v>143</v>
      </c>
      <c r="B34" s="23" t="n">
        <v>1750905</v>
      </c>
      <c r="C34" s="7" t="s">
        <v>144</v>
      </c>
      <c r="D34" s="7" t="s">
        <v>145</v>
      </c>
    </row>
    <row r="35" customFormat="false" ht="15" hidden="false" customHeight="true" outlineLevel="0" collapsed="false">
      <c r="A35" s="7" t="s">
        <v>146</v>
      </c>
      <c r="B35" s="23" t="n">
        <v>249095</v>
      </c>
      <c r="C35" s="7" t="s">
        <v>144</v>
      </c>
      <c r="D35" s="7" t="s">
        <v>147</v>
      </c>
    </row>
    <row r="36" customFormat="false" ht="15" hidden="false" customHeight="true" outlineLevel="0" collapsed="false">
      <c r="A36" s="7" t="s">
        <v>148</v>
      </c>
      <c r="B36" s="17" t="n">
        <v>0.12</v>
      </c>
      <c r="C36" s="7" t="s">
        <v>94</v>
      </c>
      <c r="D36" s="7" t="s">
        <v>149</v>
      </c>
    </row>
    <row r="37" customFormat="false" ht="15" hidden="false" customHeight="true" outlineLevel="0" collapsed="false">
      <c r="A37" s="7" t="s">
        <v>150</v>
      </c>
      <c r="B37" s="17" t="n">
        <v>0.01044</v>
      </c>
      <c r="C37" s="7" t="s">
        <v>94</v>
      </c>
      <c r="D37" s="7" t="s">
        <v>151</v>
      </c>
    </row>
    <row r="38" customFormat="false" ht="15" hidden="false" customHeight="true" outlineLevel="0" collapsed="false">
      <c r="A38" s="7" t="s">
        <v>152</v>
      </c>
      <c r="B38" s="17" t="n">
        <v>0.02436</v>
      </c>
      <c r="C38" s="7" t="s">
        <v>94</v>
      </c>
      <c r="D38" s="7" t="s">
        <v>153</v>
      </c>
    </row>
    <row r="39" customFormat="false" ht="15" hidden="false" customHeight="true" outlineLevel="0" collapsed="false">
      <c r="A39" s="7" t="s">
        <v>154</v>
      </c>
      <c r="B39" s="17" t="n">
        <v>0.04</v>
      </c>
      <c r="C39" s="7" t="s">
        <v>94</v>
      </c>
      <c r="D39" s="7" t="s">
        <v>155</v>
      </c>
    </row>
    <row r="40" customFormat="false" ht="15" hidden="false" customHeight="true" outlineLevel="0" collapsed="false">
      <c r="A40" s="7" t="s">
        <v>156</v>
      </c>
      <c r="B40" s="17" t="n">
        <v>0.0833</v>
      </c>
      <c r="C40" s="7" t="s">
        <v>94</v>
      </c>
      <c r="D40" s="7" t="s">
        <v>157</v>
      </c>
    </row>
    <row r="41" customFormat="false" ht="15" hidden="false" customHeight="true" outlineLevel="0" collapsed="false">
      <c r="A41" s="7" t="s">
        <v>158</v>
      </c>
      <c r="B41" s="17" t="n">
        <v>0.0833</v>
      </c>
      <c r="C41" s="7" t="s">
        <v>94</v>
      </c>
      <c r="D41" s="7" t="s">
        <v>159</v>
      </c>
    </row>
    <row r="42" customFormat="false" ht="15" hidden="false" customHeight="true" outlineLevel="0" collapsed="false">
      <c r="A42" s="7" t="s">
        <v>160</v>
      </c>
      <c r="B42" s="17" t="n">
        <v>0.01</v>
      </c>
      <c r="C42" s="7" t="s">
        <v>94</v>
      </c>
      <c r="D42" s="7" t="s">
        <v>161</v>
      </c>
    </row>
    <row r="43" customFormat="false" ht="15" hidden="false" customHeight="true" outlineLevel="0" collapsed="false">
      <c r="A43" s="7" t="s">
        <v>162</v>
      </c>
      <c r="B43" s="17" t="n">
        <v>0.0417</v>
      </c>
      <c r="C43" s="7" t="s">
        <v>94</v>
      </c>
      <c r="D43" s="7" t="s">
        <v>163</v>
      </c>
    </row>
    <row r="44" customFormat="false" ht="23.25" hidden="false" customHeight="true" outlineLevel="0" collapsed="false">
      <c r="A44" s="7" t="s">
        <v>164</v>
      </c>
      <c r="B44" s="24" t="n">
        <f aca="false">1+B36+B37+B39+B40+B41+B42+B43</f>
        <v>1.38874</v>
      </c>
      <c r="C44" s="7" t="s">
        <v>165</v>
      </c>
      <c r="D44" s="7" t="s">
        <v>166</v>
      </c>
    </row>
    <row r="45" customFormat="false" ht="15" hidden="false" customHeight="true" outlineLevel="0" collapsed="false">
      <c r="A45" s="7" t="s">
        <v>167</v>
      </c>
      <c r="B45" s="24" t="n">
        <f aca="false">1+B36+B38+B39+B40+B41+B42+B43</f>
        <v>1.40266</v>
      </c>
      <c r="C45" s="7" t="s">
        <v>165</v>
      </c>
      <c r="D45" s="7" t="s">
        <v>168</v>
      </c>
    </row>
    <row r="46" customFormat="false" ht="15" hidden="false" customHeight="true" outlineLevel="0" collapsed="false">
      <c r="A46" s="7" t="s">
        <v>169</v>
      </c>
      <c r="B46" s="23" t="n">
        <v>160</v>
      </c>
      <c r="C46" s="7" t="s">
        <v>170</v>
      </c>
      <c r="D46" s="7" t="s">
        <v>171</v>
      </c>
    </row>
    <row r="47" customFormat="false" ht="23.25" hidden="false" customHeight="true" outlineLevel="0" collapsed="false">
      <c r="A47" s="7" t="s">
        <v>172</v>
      </c>
      <c r="B47" s="15" t="n">
        <v>150000</v>
      </c>
      <c r="C47" s="7" t="s">
        <v>173</v>
      </c>
      <c r="D47" s="7" t="s">
        <v>174</v>
      </c>
    </row>
    <row r="48" customFormat="false" ht="15" hidden="false" customHeight="true" outlineLevel="0" collapsed="false">
      <c r="A48" s="7" t="s">
        <v>175</v>
      </c>
      <c r="B48" s="23" t="n">
        <v>12</v>
      </c>
      <c r="C48" s="7" t="s">
        <v>176</v>
      </c>
      <c r="D48" s="7" t="s">
        <v>177</v>
      </c>
    </row>
    <row r="49" customFormat="false" ht="15" hidden="false" customHeight="true" outlineLevel="0" collapsed="false">
      <c r="A49" s="12" t="s">
        <v>178</v>
      </c>
      <c r="B49" s="13"/>
      <c r="C49" s="13"/>
      <c r="D49" s="13"/>
    </row>
    <row r="50" customFormat="false" ht="15" hidden="false" customHeight="true" outlineLevel="0" collapsed="false">
      <c r="A50" s="7" t="s">
        <v>179</v>
      </c>
      <c r="B50" s="18" t="n">
        <v>0.1</v>
      </c>
      <c r="C50" s="7" t="s">
        <v>94</v>
      </c>
      <c r="D50" s="7" t="s">
        <v>180</v>
      </c>
    </row>
    <row r="51" customFormat="false" ht="34.5" hidden="false" customHeight="true" outlineLevel="0" collapsed="false">
      <c r="A51" s="7" t="s">
        <v>181</v>
      </c>
      <c r="B51" s="18" t="n">
        <v>0.07</v>
      </c>
      <c r="C51" s="7" t="s">
        <v>182</v>
      </c>
      <c r="D51" s="7" t="s">
        <v>183</v>
      </c>
    </row>
    <row r="52" customFormat="false" ht="15" hidden="false" customHeight="true" outlineLevel="0" collapsed="false">
      <c r="A52" s="7" t="s">
        <v>184</v>
      </c>
      <c r="B52" s="17" t="n">
        <v>0.012</v>
      </c>
      <c r="C52" s="7" t="s">
        <v>185</v>
      </c>
      <c r="D52" s="7" t="s">
        <v>186</v>
      </c>
    </row>
    <row r="53" customFormat="false" ht="15" hidden="false" customHeight="true" outlineLevel="0" collapsed="false">
      <c r="A53" s="7" t="s">
        <v>187</v>
      </c>
      <c r="B53" s="17" t="n">
        <v>0.00966</v>
      </c>
      <c r="C53" s="7" t="s">
        <v>188</v>
      </c>
      <c r="D53" s="7" t="s">
        <v>189</v>
      </c>
    </row>
    <row r="54" customFormat="false" ht="15" hidden="false" customHeight="true" outlineLevel="0" collapsed="false">
      <c r="A54" s="7" t="s">
        <v>190</v>
      </c>
      <c r="B54" s="17" t="n">
        <v>0.004</v>
      </c>
      <c r="C54" s="7" t="s">
        <v>191</v>
      </c>
      <c r="D54" s="7" t="s">
        <v>192</v>
      </c>
    </row>
    <row r="55" customFormat="false" ht="15" hidden="false" customHeight="true" outlineLevel="0" collapsed="false">
      <c r="A55" s="7" t="s">
        <v>193</v>
      </c>
      <c r="B55" s="16" t="n">
        <v>0.19</v>
      </c>
      <c r="C55" s="7" t="s">
        <v>94</v>
      </c>
      <c r="D55" s="7" t="s">
        <v>194</v>
      </c>
    </row>
    <row r="56" customFormat="false" ht="15" hidden="false" customHeight="true" outlineLevel="0" collapsed="false">
      <c r="A56" s="7" t="s">
        <v>195</v>
      </c>
      <c r="B56" s="16" t="n">
        <v>0.5</v>
      </c>
      <c r="C56" s="7" t="s">
        <v>94</v>
      </c>
      <c r="D56" s="7" t="s">
        <v>196</v>
      </c>
    </row>
    <row r="57" customFormat="false" ht="23.25" hidden="false" customHeight="true" outlineLevel="0" collapsed="false">
      <c r="A57" s="12" t="s">
        <v>197</v>
      </c>
      <c r="B57" s="13"/>
      <c r="C57" s="13"/>
      <c r="D57" s="13"/>
    </row>
    <row r="58" customFormat="false" ht="15" hidden="false" customHeight="true" outlineLevel="0" collapsed="false">
      <c r="A58" s="7" t="s">
        <v>198</v>
      </c>
      <c r="B58" s="23" t="n">
        <v>312</v>
      </c>
      <c r="C58" s="7" t="s">
        <v>199</v>
      </c>
      <c r="D58" s="7" t="s">
        <v>200</v>
      </c>
    </row>
    <row r="59" customFormat="false" ht="15" hidden="false" customHeight="true" outlineLevel="0" collapsed="false">
      <c r="A59" s="7" t="s">
        <v>201</v>
      </c>
      <c r="B59" s="23" t="n">
        <v>26400</v>
      </c>
      <c r="C59" s="7" t="s">
        <v>202</v>
      </c>
      <c r="D59" s="7" t="s">
        <v>203</v>
      </c>
    </row>
    <row r="60" customFormat="false" ht="23.25" hidden="false" customHeight="true" outlineLevel="0" collapsed="false">
      <c r="A60" s="7" t="s">
        <v>204</v>
      </c>
      <c r="B60" s="23" t="n">
        <v>5900</v>
      </c>
      <c r="C60" s="7" t="s">
        <v>202</v>
      </c>
      <c r="D60" s="7" t="s">
        <v>205</v>
      </c>
    </row>
    <row r="61" customFormat="false" ht="15" hidden="false" customHeight="true" outlineLevel="0" collapsed="false">
      <c r="A61" s="7" t="s">
        <v>206</v>
      </c>
      <c r="B61" s="23" t="n">
        <v>11400</v>
      </c>
      <c r="C61" s="7" t="s">
        <v>202</v>
      </c>
      <c r="D61" s="7" t="s">
        <v>207</v>
      </c>
    </row>
    <row r="62" customFormat="false" ht="15" hidden="false" customHeight="true" outlineLevel="0" collapsed="false">
      <c r="A62" s="7" t="s">
        <v>208</v>
      </c>
      <c r="B62" s="25" t="n">
        <f aca="false">B59+B60+B61</f>
        <v>43700</v>
      </c>
      <c r="C62" s="7" t="s">
        <v>202</v>
      </c>
      <c r="D62" s="7" t="s">
        <v>209</v>
      </c>
    </row>
    <row r="63" customFormat="false" ht="15" hidden="false" customHeight="true" outlineLevel="0" collapsed="false">
      <c r="A63" s="7" t="s">
        <v>210</v>
      </c>
      <c r="B63" s="23" t="n">
        <v>30000</v>
      </c>
      <c r="C63" s="7" t="s">
        <v>202</v>
      </c>
      <c r="D63" s="7" t="s">
        <v>211</v>
      </c>
    </row>
    <row r="64" customFormat="false" ht="15" hidden="false" customHeight="true" outlineLevel="0" collapsed="false">
      <c r="A64" s="7" t="s">
        <v>212</v>
      </c>
      <c r="B64" s="23" t="n">
        <v>10000</v>
      </c>
      <c r="C64" s="7" t="s">
        <v>202</v>
      </c>
      <c r="D64" s="7" t="s">
        <v>213</v>
      </c>
    </row>
    <row r="65" customFormat="false" ht="15" hidden="false" customHeight="true" outlineLevel="0" collapsed="false">
      <c r="A65" s="7" t="s">
        <v>214</v>
      </c>
      <c r="B65" s="23" t="n">
        <v>12400</v>
      </c>
      <c r="C65" s="7" t="s">
        <v>202</v>
      </c>
      <c r="D65" s="7" t="s">
        <v>215</v>
      </c>
    </row>
    <row r="66" customFormat="false" ht="15" hidden="false" customHeight="true" outlineLevel="0" collapsed="false">
      <c r="A66" s="7" t="s">
        <v>216</v>
      </c>
      <c r="B66" s="25" t="n">
        <f aca="false">B63+B64+B65</f>
        <v>52400</v>
      </c>
      <c r="C66" s="7" t="s">
        <v>202</v>
      </c>
      <c r="D66" s="7" t="s">
        <v>217</v>
      </c>
    </row>
    <row r="67" customFormat="false" ht="23.25" hidden="false" customHeight="true" outlineLevel="0" collapsed="false">
      <c r="A67" s="7" t="s">
        <v>218</v>
      </c>
      <c r="B67" s="18" t="n">
        <v>0.5</v>
      </c>
      <c r="C67" s="7" t="s">
        <v>94</v>
      </c>
      <c r="D67" s="7" t="s">
        <v>219</v>
      </c>
    </row>
    <row r="68" customFormat="false" ht="15" hidden="false" customHeight="true" outlineLevel="0" collapsed="false">
      <c r="A68" s="7" t="s">
        <v>220</v>
      </c>
      <c r="B68" s="18" t="n">
        <v>0.6</v>
      </c>
      <c r="C68" s="7" t="s">
        <v>94</v>
      </c>
      <c r="D68" s="7" t="s">
        <v>221</v>
      </c>
    </row>
    <row r="69" customFormat="false" ht="15" hidden="false" customHeight="true" outlineLevel="0" collapsed="false">
      <c r="A69" s="7" t="s">
        <v>222</v>
      </c>
      <c r="B69" s="23" t="n">
        <v>2134</v>
      </c>
      <c r="C69" s="7" t="s">
        <v>223</v>
      </c>
      <c r="D69" s="7" t="s">
        <v>224</v>
      </c>
    </row>
    <row r="70" customFormat="false" ht="15" hidden="false" customHeight="true" outlineLevel="0" collapsed="false">
      <c r="A70" s="7" t="s">
        <v>225</v>
      </c>
      <c r="B70" s="16" t="n">
        <v>0.05</v>
      </c>
      <c r="C70" s="7" t="s">
        <v>226</v>
      </c>
      <c r="D70" s="7" t="s">
        <v>227</v>
      </c>
    </row>
    <row r="71" customFormat="false" ht="15" hidden="false" customHeight="true" outlineLevel="0" collapsed="false">
      <c r="A71" s="7" t="s">
        <v>228</v>
      </c>
      <c r="B71" s="16" t="n">
        <v>0.03</v>
      </c>
      <c r="C71" s="7" t="s">
        <v>94</v>
      </c>
      <c r="D71" s="7" t="s">
        <v>229</v>
      </c>
    </row>
    <row r="72" customFormat="false" ht="15" hidden="false" customHeight="true" outlineLevel="0" collapsed="false">
      <c r="A72" s="7" t="s">
        <v>230</v>
      </c>
      <c r="B72" s="16" t="n">
        <v>0.01</v>
      </c>
      <c r="C72" s="7" t="s">
        <v>94</v>
      </c>
      <c r="D72" s="7" t="s">
        <v>231</v>
      </c>
    </row>
    <row r="73" customFormat="false" ht="15" hidden="false" customHeight="true" outlineLevel="0" collapsed="false">
      <c r="A73" s="7" t="s">
        <v>232</v>
      </c>
      <c r="B73" s="16" t="n">
        <v>0.75</v>
      </c>
      <c r="C73" s="7" t="s">
        <v>94</v>
      </c>
      <c r="D73" s="7" t="s">
        <v>233</v>
      </c>
    </row>
    <row r="74" customFormat="false" ht="15" hidden="false" customHeight="true" outlineLevel="0" collapsed="false">
      <c r="A74" s="7" t="s">
        <v>234</v>
      </c>
      <c r="B74" s="23" t="n">
        <v>6</v>
      </c>
      <c r="C74" s="7" t="s">
        <v>235</v>
      </c>
      <c r="D74" s="7" t="s">
        <v>236</v>
      </c>
    </row>
    <row r="75" customFormat="false" ht="15" hidden="false" customHeight="true" outlineLevel="0" collapsed="false">
      <c r="A75" s="7" t="s">
        <v>237</v>
      </c>
      <c r="B75" s="25" t="n">
        <f aca="false">1.1*B34</f>
        <v>1925995.5</v>
      </c>
      <c r="C75" s="7" t="s">
        <v>144</v>
      </c>
      <c r="D75" s="7" t="s">
        <v>238</v>
      </c>
    </row>
    <row r="76" customFormat="false" ht="15" hidden="false" customHeight="true" outlineLevel="0" collapsed="false">
      <c r="A76" s="7" t="s">
        <v>239</v>
      </c>
      <c r="B76" s="23" t="n">
        <v>250</v>
      </c>
      <c r="C76" s="7" t="s">
        <v>240</v>
      </c>
      <c r="D76" s="7" t="s">
        <v>241</v>
      </c>
    </row>
    <row r="77" customFormat="false" ht="15" hidden="false" customHeight="true" outlineLevel="0" collapsed="false">
      <c r="A77" s="7" t="s">
        <v>242</v>
      </c>
      <c r="B77" s="16" t="n">
        <v>0.03</v>
      </c>
      <c r="C77" s="7" t="s">
        <v>94</v>
      </c>
      <c r="D77" s="7" t="s">
        <v>243</v>
      </c>
    </row>
    <row r="78" customFormat="false" ht="15" hidden="false" customHeight="true" outlineLevel="0" collapsed="false">
      <c r="A78" s="7" t="s">
        <v>244</v>
      </c>
      <c r="B78" s="16" t="n">
        <v>0.1</v>
      </c>
      <c r="C78" s="7" t="s">
        <v>94</v>
      </c>
      <c r="D78" s="7" t="s">
        <v>227</v>
      </c>
    </row>
    <row r="79" customFormat="false" ht="15" hidden="false" customHeight="true" outlineLevel="0" collapsed="false">
      <c r="A79" s="7" t="s">
        <v>245</v>
      </c>
      <c r="B79" s="23" t="n">
        <v>800000000</v>
      </c>
      <c r="C79" s="7" t="s">
        <v>246</v>
      </c>
      <c r="D79" s="7" t="s">
        <v>247</v>
      </c>
    </row>
    <row r="80" customFormat="false" ht="15" hidden="false" customHeight="true" outlineLevel="0" collapsed="false">
      <c r="A80" s="7" t="s">
        <v>248</v>
      </c>
      <c r="B80" s="23" t="n">
        <v>30</v>
      </c>
      <c r="C80" s="7" t="s">
        <v>199</v>
      </c>
      <c r="D80" s="7" t="s">
        <v>249</v>
      </c>
    </row>
    <row r="81" customFormat="false" ht="15" hidden="false" customHeight="true" outlineLevel="0" collapsed="false">
      <c r="A81" s="7" t="s">
        <v>250</v>
      </c>
      <c r="B81" s="23" t="n">
        <v>12</v>
      </c>
      <c r="C81" s="7" t="s">
        <v>199</v>
      </c>
      <c r="D81" s="7" t="s">
        <v>251</v>
      </c>
    </row>
    <row r="82" customFormat="false" ht="15" hidden="false" customHeight="true" outlineLevel="0" collapsed="false">
      <c r="A82" s="7" t="s">
        <v>252</v>
      </c>
      <c r="B82" s="16" t="n">
        <v>0.5</v>
      </c>
      <c r="C82" s="7" t="s">
        <v>94</v>
      </c>
      <c r="D82" s="7" t="s">
        <v>253</v>
      </c>
    </row>
    <row r="83" customFormat="false" ht="15" hidden="false" customHeight="true" outlineLevel="0" collapsed="false">
      <c r="A83" s="7" t="s">
        <v>254</v>
      </c>
      <c r="B83" s="23" t="n">
        <v>150000000</v>
      </c>
      <c r="C83" s="7" t="s">
        <v>255</v>
      </c>
      <c r="D83" s="7" t="s">
        <v>256</v>
      </c>
    </row>
    <row r="84" customFormat="false" ht="15" hidden="false" customHeight="true" outlineLevel="0" collapsed="false">
      <c r="A84" s="7" t="s">
        <v>257</v>
      </c>
      <c r="B84" s="23" t="n">
        <v>7</v>
      </c>
      <c r="C84" s="7" t="s">
        <v>258</v>
      </c>
      <c r="D84" s="7" t="s">
        <v>259</v>
      </c>
    </row>
    <row r="85" customFormat="false" ht="15" hidden="false" customHeight="true" outlineLevel="0" collapsed="false">
      <c r="A85" s="7" t="s">
        <v>260</v>
      </c>
      <c r="B85" s="23" t="n">
        <v>10</v>
      </c>
      <c r="C85" s="7" t="s">
        <v>258</v>
      </c>
      <c r="D85" s="7" t="s">
        <v>261</v>
      </c>
    </row>
    <row r="86" customFormat="false" ht="15" hidden="false" customHeight="true" outlineLevel="0" collapsed="false">
      <c r="A86" s="7" t="s">
        <v>262</v>
      </c>
      <c r="B86" s="23" t="n">
        <v>5</v>
      </c>
      <c r="C86" s="7" t="s">
        <v>258</v>
      </c>
      <c r="D86" s="7" t="s">
        <v>263</v>
      </c>
    </row>
    <row r="87" customFormat="false" ht="23.85" hidden="false" customHeight="false" outlineLevel="0" collapsed="false">
      <c r="A87" s="7" t="s">
        <v>264</v>
      </c>
      <c r="B87" s="26" t="n">
        <v>1</v>
      </c>
      <c r="C87" s="7" t="s">
        <v>176</v>
      </c>
      <c r="D87" s="7" t="s">
        <v>265</v>
      </c>
    </row>
    <row r="88" customFormat="false" ht="23.85" hidden="false" customHeight="false" outlineLevel="0" collapsed="false">
      <c r="A88" s="7" t="s">
        <v>266</v>
      </c>
      <c r="B88" s="27" t="n">
        <v>0.04</v>
      </c>
      <c r="C88" s="7" t="s">
        <v>94</v>
      </c>
      <c r="D88" s="7" t="s">
        <v>267</v>
      </c>
    </row>
    <row r="89" customFormat="false" ht="15" hidden="false" customHeight="false" outlineLevel="0" collapsed="false">
      <c r="A89" s="7" t="s">
        <v>268</v>
      </c>
      <c r="B89" s="28" t="n">
        <f aca="false">B9+B25</f>
        <v>0.1625</v>
      </c>
      <c r="C89" s="7" t="s">
        <v>269</v>
      </c>
      <c r="D89" s="7" t="s">
        <v>270</v>
      </c>
    </row>
    <row r="90" customFormat="false" ht="23.85" hidden="false" customHeight="false" outlineLevel="0" collapsed="false">
      <c r="A90" s="7" t="s">
        <v>271</v>
      </c>
      <c r="B90" s="29" t="n">
        <v>1500000000</v>
      </c>
      <c r="C90" s="7" t="s">
        <v>255</v>
      </c>
      <c r="D90" s="7" t="s">
        <v>272</v>
      </c>
    </row>
    <row r="91" customFormat="false" ht="23.85" hidden="false" customHeight="false" outlineLevel="0" collapsed="false">
      <c r="A91" s="7" t="s">
        <v>273</v>
      </c>
      <c r="B91" s="26" t="n">
        <v>305</v>
      </c>
      <c r="C91" s="7" t="s">
        <v>274</v>
      </c>
      <c r="D91" s="7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80"/>
  </cols>
  <sheetData>
    <row r="1" customFormat="false" ht="17.25" hidden="false" customHeight="true" outlineLevel="0" collapsed="false">
      <c r="A1" s="2" t="s">
        <v>276</v>
      </c>
    </row>
    <row r="2" customFormat="false" ht="15" hidden="false" customHeight="true" outlineLevel="0" collapsed="false">
      <c r="A2" s="3" t="s">
        <v>277</v>
      </c>
    </row>
    <row r="4" customFormat="false" ht="23.25" hidden="false" customHeight="true" outlineLevel="0" collapsed="false">
      <c r="A4" s="4" t="s">
        <v>278</v>
      </c>
      <c r="B4" s="4" t="s">
        <v>279</v>
      </c>
      <c r="C4" s="4" t="s">
        <v>280</v>
      </c>
      <c r="D4" s="4" t="s">
        <v>281</v>
      </c>
      <c r="E4" s="4" t="s">
        <v>282</v>
      </c>
      <c r="F4" s="4" t="s">
        <v>283</v>
      </c>
      <c r="G4" s="4" t="s">
        <v>284</v>
      </c>
      <c r="H4" s="4" t="s">
        <v>285</v>
      </c>
    </row>
    <row r="5" customFormat="false" ht="23.25" hidden="false" customHeight="true" outlineLevel="0" collapsed="false">
      <c r="A5" s="7" t="s">
        <v>286</v>
      </c>
      <c r="B5" s="7" t="s">
        <v>287</v>
      </c>
      <c r="C5" s="30" t="n">
        <v>7500000</v>
      </c>
      <c r="D5" s="31" t="n">
        <f aca="false">Supuestos!$B$44</f>
        <v>1.38874</v>
      </c>
      <c r="E5" s="32" t="n">
        <f aca="false">C5*D5</f>
        <v>10415550</v>
      </c>
      <c r="F5" s="33" t="n">
        <f aca="false">Supuestos!$B$48</f>
        <v>12</v>
      </c>
      <c r="G5" s="32" t="n">
        <f aca="false">E5*F5</f>
        <v>124986600</v>
      </c>
      <c r="H5" s="7" t="s">
        <v>288</v>
      </c>
    </row>
    <row r="6" customFormat="false" ht="23.25" hidden="false" customHeight="true" outlineLevel="0" collapsed="false">
      <c r="A6" s="7" t="s">
        <v>289</v>
      </c>
      <c r="B6" s="7" t="s">
        <v>290</v>
      </c>
      <c r="C6" s="30" t="n">
        <v>6500000</v>
      </c>
      <c r="D6" s="31" t="n">
        <f aca="false">Supuestos!$B$44</f>
        <v>1.38874</v>
      </c>
      <c r="E6" s="32" t="n">
        <f aca="false">C6*D6</f>
        <v>9026810</v>
      </c>
      <c r="F6" s="33" t="n">
        <f aca="false">Supuestos!$B$48</f>
        <v>12</v>
      </c>
      <c r="G6" s="32" t="n">
        <f aca="false">E6*F6</f>
        <v>108321720</v>
      </c>
      <c r="H6" s="7" t="s">
        <v>291</v>
      </c>
    </row>
    <row r="7" customFormat="false" ht="23.25" hidden="false" customHeight="true" outlineLevel="0" collapsed="false">
      <c r="A7" s="7" t="s">
        <v>292</v>
      </c>
      <c r="B7" s="7" t="s">
        <v>293</v>
      </c>
      <c r="C7" s="30" t="n">
        <v>5000000</v>
      </c>
      <c r="D7" s="31" t="n">
        <f aca="false">Supuestos!$B$44</f>
        <v>1.38874</v>
      </c>
      <c r="E7" s="32" t="n">
        <f aca="false">C7*D7</f>
        <v>6943700</v>
      </c>
      <c r="F7" s="33" t="n">
        <f aca="false">Supuestos!$B$48</f>
        <v>12</v>
      </c>
      <c r="G7" s="32" t="n">
        <f aca="false">E7*F7</f>
        <v>83324400</v>
      </c>
      <c r="H7" s="7" t="s">
        <v>294</v>
      </c>
    </row>
    <row r="8" customFormat="false" ht="15" hidden="false" customHeight="true" outlineLevel="0" collapsed="false">
      <c r="A8" s="7" t="s">
        <v>295</v>
      </c>
      <c r="B8" s="7" t="s">
        <v>296</v>
      </c>
      <c r="C8" s="30" t="n">
        <v>5000000</v>
      </c>
      <c r="D8" s="31" t="n">
        <f aca="false">Supuestos!$B$44</f>
        <v>1.38874</v>
      </c>
      <c r="E8" s="32" t="n">
        <f aca="false">C8*D8</f>
        <v>6943700</v>
      </c>
      <c r="F8" s="33" t="n">
        <f aca="false">Supuestos!$B$48</f>
        <v>12</v>
      </c>
      <c r="G8" s="32" t="n">
        <f aca="false">E8*F8</f>
        <v>83324400</v>
      </c>
      <c r="H8" s="7" t="s">
        <v>297</v>
      </c>
    </row>
    <row r="9" customFormat="false" ht="15" hidden="false" customHeight="true" outlineLevel="0" collapsed="false">
      <c r="A9" s="7" t="s">
        <v>298</v>
      </c>
      <c r="B9" s="7" t="s">
        <v>299</v>
      </c>
      <c r="C9" s="30" t="n">
        <v>5500000</v>
      </c>
      <c r="D9" s="31" t="n">
        <f aca="false">Supuestos!$B$44</f>
        <v>1.38874</v>
      </c>
      <c r="E9" s="32" t="n">
        <f aca="false">C9*D9</f>
        <v>7638070</v>
      </c>
      <c r="F9" s="33" t="n">
        <f aca="false">Supuestos!$B$48</f>
        <v>12</v>
      </c>
      <c r="G9" s="32" t="n">
        <f aca="false">E9*F9</f>
        <v>91656840</v>
      </c>
      <c r="H9" s="7" t="s">
        <v>300</v>
      </c>
    </row>
    <row r="10" customFormat="false" ht="15" hidden="false" customHeight="true" outlineLevel="0" collapsed="false">
      <c r="A10" s="7" t="s">
        <v>301</v>
      </c>
      <c r="B10" s="7" t="s">
        <v>302</v>
      </c>
      <c r="C10" s="30" t="n">
        <v>5000000</v>
      </c>
      <c r="D10" s="31" t="n">
        <f aca="false">Supuestos!$B$44</f>
        <v>1.38874</v>
      </c>
      <c r="E10" s="32" t="n">
        <f aca="false">C10*D10</f>
        <v>6943700</v>
      </c>
      <c r="F10" s="33" t="n">
        <f aca="false">Supuestos!$B$48</f>
        <v>12</v>
      </c>
      <c r="G10" s="32" t="n">
        <f aca="false">E10*F10</f>
        <v>83324400</v>
      </c>
      <c r="H10" s="7" t="s">
        <v>303</v>
      </c>
    </row>
    <row r="11" customFormat="false" ht="15" hidden="false" customHeight="true" outlineLevel="0" collapsed="false">
      <c r="A11" s="34" t="s">
        <v>304</v>
      </c>
      <c r="B11" s="35"/>
      <c r="C11" s="36" t="n">
        <f aca="false">SUM(C5:C10)</f>
        <v>34500000</v>
      </c>
      <c r="D11" s="35"/>
      <c r="E11" s="36" t="n">
        <f aca="false">SUM(E5:E10)</f>
        <v>47911530</v>
      </c>
      <c r="F11" s="35"/>
      <c r="G11" s="36" t="n">
        <f aca="false">SUM(G5:G10)</f>
        <v>574938360</v>
      </c>
      <c r="H11" s="35"/>
    </row>
    <row r="13" customFormat="false" ht="23.25" hidden="false" customHeight="true" outlineLevel="0" collapsed="false">
      <c r="A13" s="5" t="s">
        <v>305</v>
      </c>
      <c r="B13" s="32" t="n">
        <f aca="false">E11/(6*Supuestos!$B$46)</f>
        <v>49907.84375</v>
      </c>
      <c r="C13" s="5" t="s">
        <v>306</v>
      </c>
      <c r="E13" s="37" t="n">
        <f aca="false">Supuestos!$B$47/B13</f>
        <v>3.00553958514788</v>
      </c>
    </row>
    <row r="15" customFormat="false" ht="15" hidden="false" customHeight="true" outlineLevel="0" collapsed="false">
      <c r="A15" s="12" t="s">
        <v>307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4" t="s">
        <v>308</v>
      </c>
      <c r="B16" s="4" t="s">
        <v>309</v>
      </c>
      <c r="C16" s="4" t="s">
        <v>310</v>
      </c>
      <c r="D16" s="4" t="s">
        <v>311</v>
      </c>
      <c r="E16" s="4" t="s">
        <v>312</v>
      </c>
      <c r="F16" s="4" t="s">
        <v>313</v>
      </c>
      <c r="G16" s="4" t="s">
        <v>314</v>
      </c>
      <c r="H16" s="4" t="s">
        <v>315</v>
      </c>
    </row>
    <row r="17" customFormat="false" ht="15" hidden="false" customHeight="true" outlineLevel="0" collapsed="false">
      <c r="A17" s="7" t="s">
        <v>316</v>
      </c>
      <c r="B17" s="7" t="s">
        <v>317</v>
      </c>
      <c r="C17" s="30" t="n">
        <v>4000000</v>
      </c>
      <c r="D17" s="30" t="n">
        <v>12</v>
      </c>
      <c r="E17" s="32" t="n">
        <f aca="false">C17*D17</f>
        <v>48000000</v>
      </c>
      <c r="F17" s="7" t="s">
        <v>255</v>
      </c>
      <c r="G17" s="32" t="n">
        <f aca="false">E17*IF(F17="USD",Supuestos!$B$6,1)</f>
        <v>48000000</v>
      </c>
      <c r="H17" s="7" t="s">
        <v>318</v>
      </c>
    </row>
    <row r="18" customFormat="false" ht="15" hidden="false" customHeight="true" outlineLevel="0" collapsed="false">
      <c r="A18" s="7" t="s">
        <v>319</v>
      </c>
      <c r="B18" s="7" t="s">
        <v>317</v>
      </c>
      <c r="C18" s="30" t="n">
        <v>1500000</v>
      </c>
      <c r="D18" s="30" t="n">
        <v>12</v>
      </c>
      <c r="E18" s="32" t="n">
        <f aca="false">C18*D18</f>
        <v>18000000</v>
      </c>
      <c r="F18" s="7" t="s">
        <v>255</v>
      </c>
      <c r="G18" s="32" t="n">
        <f aca="false">E18*IF(F18="USD",Supuestos!$B$6,1)</f>
        <v>18000000</v>
      </c>
      <c r="H18" s="7" t="s">
        <v>320</v>
      </c>
    </row>
    <row r="19" customFormat="false" ht="15" hidden="false" customHeight="true" outlineLevel="0" collapsed="false">
      <c r="A19" s="7" t="s">
        <v>321</v>
      </c>
      <c r="B19" s="7" t="s">
        <v>317</v>
      </c>
      <c r="C19" s="30" t="n">
        <v>3000000</v>
      </c>
      <c r="D19" s="30" t="n">
        <v>12</v>
      </c>
      <c r="E19" s="32" t="n">
        <f aca="false">C19*D19</f>
        <v>36000000</v>
      </c>
      <c r="F19" s="7" t="s">
        <v>255</v>
      </c>
      <c r="G19" s="32" t="n">
        <f aca="false">E19*IF(F19="USD",Supuestos!$B$6,1)</f>
        <v>36000000</v>
      </c>
      <c r="H19" s="7" t="s">
        <v>322</v>
      </c>
    </row>
    <row r="20" customFormat="false" ht="15" hidden="false" customHeight="true" outlineLevel="0" collapsed="false">
      <c r="A20" s="7" t="s">
        <v>323</v>
      </c>
      <c r="B20" s="7" t="s">
        <v>317</v>
      </c>
      <c r="C20" s="30" t="n">
        <v>800000</v>
      </c>
      <c r="D20" s="30" t="n">
        <v>12</v>
      </c>
      <c r="E20" s="32" t="n">
        <f aca="false">C20*D20</f>
        <v>9600000</v>
      </c>
      <c r="F20" s="7" t="s">
        <v>255</v>
      </c>
      <c r="G20" s="32" t="n">
        <f aca="false">E20*IF(F20="USD",Supuestos!$B$6,1)</f>
        <v>9600000</v>
      </c>
      <c r="H20" s="7" t="s">
        <v>324</v>
      </c>
    </row>
    <row r="21" customFormat="false" ht="15" hidden="false" customHeight="true" outlineLevel="0" collapsed="false">
      <c r="A21" s="7" t="s">
        <v>325</v>
      </c>
      <c r="B21" s="7" t="s">
        <v>317</v>
      </c>
      <c r="C21" s="30" t="n">
        <v>1200000</v>
      </c>
      <c r="D21" s="30" t="n">
        <v>12</v>
      </c>
      <c r="E21" s="32" t="n">
        <f aca="false">C21*D21</f>
        <v>14400000</v>
      </c>
      <c r="F21" s="7" t="s">
        <v>255</v>
      </c>
      <c r="G21" s="32" t="n">
        <f aca="false">E21*IF(F21="USD",Supuestos!$B$6,1)</f>
        <v>14400000</v>
      </c>
      <c r="H21" s="7" t="s">
        <v>324</v>
      </c>
    </row>
    <row r="22" customFormat="false" ht="15" hidden="false" customHeight="true" outlineLevel="0" collapsed="false">
      <c r="A22" s="7" t="s">
        <v>326</v>
      </c>
      <c r="B22" s="7" t="s">
        <v>327</v>
      </c>
      <c r="C22" s="30" t="n">
        <v>6500000</v>
      </c>
      <c r="D22" s="30" t="n">
        <v>6</v>
      </c>
      <c r="E22" s="32" t="n">
        <f aca="false">C22*D22</f>
        <v>39000000</v>
      </c>
      <c r="F22" s="7" t="s">
        <v>255</v>
      </c>
      <c r="G22" s="32" t="n">
        <f aca="false">E22*IF(F22="USD",Supuestos!$B$6,1)</f>
        <v>39000000</v>
      </c>
      <c r="H22" s="7" t="s">
        <v>328</v>
      </c>
    </row>
    <row r="23" customFormat="false" ht="23.25" hidden="false" customHeight="true" outlineLevel="0" collapsed="false">
      <c r="A23" s="7" t="s">
        <v>329</v>
      </c>
      <c r="B23" s="7" t="s">
        <v>327</v>
      </c>
      <c r="C23" s="30" t="n">
        <v>12000</v>
      </c>
      <c r="D23" s="30" t="n">
        <v>1</v>
      </c>
      <c r="E23" s="32" t="n">
        <f aca="false">C23*D23</f>
        <v>12000</v>
      </c>
      <c r="F23" s="7" t="s">
        <v>330</v>
      </c>
      <c r="G23" s="32" t="n">
        <f aca="false">E23*IF(F23="USD",Supuestos!$B$6,1)</f>
        <v>39281880</v>
      </c>
      <c r="H23" s="7" t="s">
        <v>331</v>
      </c>
    </row>
    <row r="24" customFormat="false" ht="15" hidden="false" customHeight="true" outlineLevel="0" collapsed="false">
      <c r="A24" s="7" t="s">
        <v>332</v>
      </c>
      <c r="B24" s="7" t="s">
        <v>327</v>
      </c>
      <c r="C24" s="30" t="n">
        <v>4000</v>
      </c>
      <c r="D24" s="30" t="n">
        <v>1</v>
      </c>
      <c r="E24" s="32" t="n">
        <f aca="false">C24*D24</f>
        <v>4000</v>
      </c>
      <c r="F24" s="7" t="s">
        <v>330</v>
      </c>
      <c r="G24" s="32" t="n">
        <f aca="false">E24*IF(F24="USD",Supuestos!$B$6,1)</f>
        <v>13093960</v>
      </c>
      <c r="H24" s="7" t="s">
        <v>333</v>
      </c>
    </row>
    <row r="25" customFormat="false" ht="15" hidden="false" customHeight="true" outlineLevel="0" collapsed="false">
      <c r="A25" s="7" t="s">
        <v>334</v>
      </c>
      <c r="B25" s="7" t="s">
        <v>327</v>
      </c>
      <c r="C25" s="30" t="n">
        <v>15000</v>
      </c>
      <c r="D25" s="30" t="n">
        <v>1</v>
      </c>
      <c r="E25" s="32" t="n">
        <f aca="false">C25*D25</f>
        <v>15000</v>
      </c>
      <c r="F25" s="7" t="s">
        <v>330</v>
      </c>
      <c r="G25" s="32" t="n">
        <f aca="false">E25*IF(F25="USD",Supuestos!$B$6,1)</f>
        <v>49102350</v>
      </c>
      <c r="H25" s="7" t="s">
        <v>335</v>
      </c>
    </row>
    <row r="26" customFormat="false" ht="15" hidden="false" customHeight="true" outlineLevel="0" collapsed="false">
      <c r="A26" s="7" t="s">
        <v>336</v>
      </c>
      <c r="B26" s="7" t="s">
        <v>327</v>
      </c>
      <c r="C26" s="30" t="n">
        <v>2000000</v>
      </c>
      <c r="D26" s="30" t="n">
        <v>1</v>
      </c>
      <c r="E26" s="32" t="n">
        <f aca="false">C26*D26</f>
        <v>2000000</v>
      </c>
      <c r="F26" s="7" t="s">
        <v>255</v>
      </c>
      <c r="G26" s="32" t="n">
        <f aca="false">E26*IF(F26="USD",Supuestos!$B$6,1)</f>
        <v>2000000</v>
      </c>
      <c r="H26" s="7" t="s">
        <v>324</v>
      </c>
    </row>
    <row r="27" customFormat="false" ht="15" hidden="false" customHeight="true" outlineLevel="0" collapsed="false">
      <c r="A27" s="34" t="s">
        <v>337</v>
      </c>
      <c r="B27" s="35"/>
      <c r="C27" s="35"/>
      <c r="D27" s="35"/>
      <c r="E27" s="35"/>
      <c r="F27" s="35"/>
      <c r="G27" s="36" t="n">
        <f aca="false">SUM(G17:G26)</f>
        <v>268478190</v>
      </c>
      <c r="H27" s="35"/>
    </row>
    <row r="28" customFormat="false" ht="15" hidden="false" customHeight="true" outlineLevel="0" collapsed="false">
      <c r="A28" s="7" t="s">
        <v>338</v>
      </c>
      <c r="G28" s="32" t="n">
        <f aca="false">SUMIFS(C17:C26,B17:B26,"Mensual")</f>
        <v>10500000</v>
      </c>
    </row>
    <row r="29" customFormat="false" ht="15" hidden="false" customHeight="true" outlineLevel="0" collapsed="false">
      <c r="A29" s="7" t="s">
        <v>339</v>
      </c>
      <c r="G29" s="32" t="n">
        <f aca="false">SUMIFS(G17:G26,B17:B26,"Único")</f>
        <v>142478190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3" min="2" style="1" width="30"/>
    <col collapsed="false" customWidth="true" hidden="false" outlineLevel="0" max="4" min="4" style="1" width="95"/>
  </cols>
  <sheetData>
    <row r="1" customFormat="false" ht="17.25" hidden="false" customHeight="true" outlineLevel="0" collapsed="false">
      <c r="A1" s="2" t="s">
        <v>35</v>
      </c>
    </row>
    <row r="2" customFormat="false" ht="15" hidden="false" customHeight="true" outlineLevel="0" collapsed="false">
      <c r="A2" s="3" t="s">
        <v>340</v>
      </c>
    </row>
    <row r="4" customFormat="false" ht="15" hidden="false" customHeight="true" outlineLevel="0" collapsed="false">
      <c r="A4" s="4" t="s">
        <v>79</v>
      </c>
      <c r="B4" s="4" t="s">
        <v>341</v>
      </c>
      <c r="C4" s="4" t="s">
        <v>342</v>
      </c>
      <c r="D4" s="4" t="s">
        <v>343</v>
      </c>
    </row>
    <row r="5" customFormat="false" ht="15" hidden="false" customHeight="true" outlineLevel="0" collapsed="false">
      <c r="A5" s="12" t="s">
        <v>344</v>
      </c>
      <c r="B5" s="13"/>
      <c r="C5" s="13"/>
      <c r="D5" s="13"/>
    </row>
    <row r="6" customFormat="false" ht="15" hidden="false" customHeight="true" outlineLevel="0" collapsed="false">
      <c r="A6" s="7" t="s">
        <v>345</v>
      </c>
      <c r="B6" s="33" t="n">
        <f aca="false">Supuestos!$B$66</f>
        <v>52400</v>
      </c>
      <c r="C6" s="33" t="n">
        <f aca="false">Supuestos!$B$66</f>
        <v>52400</v>
      </c>
      <c r="D6" s="7" t="s">
        <v>346</v>
      </c>
    </row>
    <row r="7" customFormat="false" ht="15" hidden="false" customHeight="true" outlineLevel="0" collapsed="false">
      <c r="A7" s="7" t="s">
        <v>347</v>
      </c>
      <c r="B7" s="33" t="n">
        <f aca="false">Supuestos!$B$62</f>
        <v>43700</v>
      </c>
      <c r="C7" s="33" t="n">
        <f aca="false">Supuestos!$B$66</f>
        <v>52400</v>
      </c>
      <c r="D7" s="7" t="s">
        <v>348</v>
      </c>
    </row>
    <row r="8" customFormat="false" ht="15" hidden="false" customHeight="true" outlineLevel="0" collapsed="false">
      <c r="A8" s="7" t="s">
        <v>349</v>
      </c>
      <c r="B8" s="38" t="n">
        <f aca="false">B7/B6</f>
        <v>0.833969465648855</v>
      </c>
      <c r="C8" s="38" t="n">
        <f aca="false">C7/C6</f>
        <v>1</v>
      </c>
      <c r="D8" s="7" t="s">
        <v>350</v>
      </c>
    </row>
    <row r="9" customFormat="false" ht="15" hidden="false" customHeight="true" outlineLevel="0" collapsed="false">
      <c r="A9" s="7" t="s">
        <v>351</v>
      </c>
      <c r="B9" s="30" t="n">
        <v>2</v>
      </c>
      <c r="C9" s="30" t="n">
        <v>2</v>
      </c>
      <c r="D9" s="7" t="s">
        <v>352</v>
      </c>
    </row>
    <row r="10" customFormat="false" ht="15" hidden="false" customHeight="true" outlineLevel="0" collapsed="false">
      <c r="A10" s="7" t="s">
        <v>353</v>
      </c>
      <c r="B10" s="30" t="n">
        <v>60</v>
      </c>
      <c r="C10" s="30" t="n">
        <v>60</v>
      </c>
      <c r="D10" s="7" t="s">
        <v>354</v>
      </c>
    </row>
    <row r="11" customFormat="false" ht="15" hidden="false" customHeight="true" outlineLevel="0" collapsed="false">
      <c r="A11" s="7" t="s">
        <v>355</v>
      </c>
      <c r="B11" s="32" t="n">
        <f aca="false">B9*(480-B10)</f>
        <v>840</v>
      </c>
      <c r="C11" s="32" t="n">
        <f aca="false">C9*(480-C10)</f>
        <v>840</v>
      </c>
      <c r="D11" s="7" t="s">
        <v>356</v>
      </c>
    </row>
    <row r="12" customFormat="false" ht="15" hidden="false" customHeight="true" outlineLevel="0" collapsed="false">
      <c r="A12" s="7" t="s">
        <v>357</v>
      </c>
      <c r="B12" s="39" t="n">
        <f aca="false">B11*60/B6</f>
        <v>0.961832061068702</v>
      </c>
      <c r="C12" s="39" t="n">
        <f aca="false">C11*60/C6</f>
        <v>0.961832061068702</v>
      </c>
      <c r="D12" s="7" t="s">
        <v>358</v>
      </c>
    </row>
    <row r="13" customFormat="false" ht="15" hidden="false" customHeight="true" outlineLevel="0" collapsed="false">
      <c r="A13" s="7" t="s">
        <v>359</v>
      </c>
      <c r="B13" s="39" t="n">
        <f aca="false">B11*60/B7</f>
        <v>1.1533180778032</v>
      </c>
      <c r="C13" s="39" t="n">
        <f aca="false">C11*60/C7</f>
        <v>0.961832061068702</v>
      </c>
      <c r="D13" s="7" t="s">
        <v>360</v>
      </c>
    </row>
    <row r="14" customFormat="false" ht="15" hidden="false" customHeight="true" outlineLevel="0" collapsed="false">
      <c r="A14" s="7" t="s">
        <v>361</v>
      </c>
      <c r="B14" s="32" t="n">
        <f aca="false">B7/(B11/60)</f>
        <v>3121.42857142857</v>
      </c>
      <c r="C14" s="32" t="n">
        <f aca="false">C7/(C11/60)</f>
        <v>3742.85714285714</v>
      </c>
      <c r="D14" s="7" t="s">
        <v>362</v>
      </c>
    </row>
    <row r="15" customFormat="false" ht="15" hidden="false" customHeight="true" outlineLevel="0" collapsed="false">
      <c r="A15" s="7" t="s">
        <v>363</v>
      </c>
      <c r="B15" s="32" t="n">
        <f aca="false">B7/B9</f>
        <v>21850</v>
      </c>
      <c r="C15" s="32" t="n">
        <f aca="false">C7/C9</f>
        <v>26200</v>
      </c>
      <c r="D15" s="7" t="s">
        <v>364</v>
      </c>
    </row>
    <row r="17" customFormat="false" ht="15" hidden="false" customHeight="true" outlineLevel="0" collapsed="false">
      <c r="A17" s="12" t="s">
        <v>365</v>
      </c>
      <c r="B17" s="13"/>
      <c r="C17" s="13"/>
      <c r="D17" s="13"/>
    </row>
    <row r="18" customFormat="false" ht="15" hidden="false" customHeight="true" outlineLevel="0" collapsed="false">
      <c r="A18" s="7" t="s">
        <v>366</v>
      </c>
      <c r="B18" s="33" t="n">
        <f aca="false">Supuestos!$B$59</f>
        <v>26400</v>
      </c>
      <c r="C18" s="33" t="n">
        <f aca="false">Supuestos!$B$63</f>
        <v>30000</v>
      </c>
      <c r="D18" s="7" t="s">
        <v>32</v>
      </c>
    </row>
    <row r="19" customFormat="false" ht="15" hidden="false" customHeight="true" outlineLevel="0" collapsed="false">
      <c r="A19" s="7" t="s">
        <v>367</v>
      </c>
      <c r="B19" s="32" t="n">
        <f aca="false">B18/0.15</f>
        <v>176000</v>
      </c>
      <c r="C19" s="32" t="n">
        <f aca="false">C18/0.15</f>
        <v>200000</v>
      </c>
      <c r="D19" s="7" t="s">
        <v>368</v>
      </c>
    </row>
    <row r="20" customFormat="false" ht="15" hidden="false" customHeight="true" outlineLevel="0" collapsed="false">
      <c r="A20" s="7" t="s">
        <v>369</v>
      </c>
      <c r="B20" s="39" t="n">
        <f aca="false">B18/11364</f>
        <v>2.32312565997888</v>
      </c>
      <c r="C20" s="39" t="n">
        <f aca="false">C18/11364</f>
        <v>2.63991552270327</v>
      </c>
      <c r="D20" s="7" t="s">
        <v>370</v>
      </c>
    </row>
    <row r="21" customFormat="false" ht="15" hidden="false" customHeight="true" outlineLevel="0" collapsed="false">
      <c r="A21" s="7" t="s">
        <v>371</v>
      </c>
      <c r="B21" s="32" t="n">
        <f aca="false">B19/24</f>
        <v>7333.33333333333</v>
      </c>
      <c r="C21" s="32" t="n">
        <f aca="false">C19/24</f>
        <v>8333.33333333333</v>
      </c>
      <c r="D21" s="7" t="s">
        <v>372</v>
      </c>
    </row>
    <row r="22" customFormat="false" ht="15" hidden="false" customHeight="true" outlineLevel="0" collapsed="false">
      <c r="A22" s="7" t="s">
        <v>373</v>
      </c>
      <c r="B22" s="40" t="n">
        <f aca="false">B21/112</f>
        <v>65.4761904761905</v>
      </c>
      <c r="C22" s="40" t="n">
        <f aca="false">C21/112</f>
        <v>74.4047619047619</v>
      </c>
      <c r="D22" s="7" t="s">
        <v>374</v>
      </c>
    </row>
    <row r="23" customFormat="false" ht="15" hidden="false" customHeight="true" outlineLevel="0" collapsed="false">
      <c r="A23" s="7" t="s">
        <v>375</v>
      </c>
      <c r="B23" s="33" t="n">
        <f aca="false">Supuestos!$B$60</f>
        <v>5900</v>
      </c>
      <c r="C23" s="33" t="n">
        <f aca="false">Supuestos!$B$64</f>
        <v>10000</v>
      </c>
      <c r="D23" s="7" t="s">
        <v>32</v>
      </c>
    </row>
    <row r="24" customFormat="false" ht="15" hidden="false" customHeight="true" outlineLevel="0" collapsed="false">
      <c r="A24" s="7" t="s">
        <v>376</v>
      </c>
      <c r="B24" s="32" t="n">
        <f aca="false">B23/0.5</f>
        <v>11800</v>
      </c>
      <c r="C24" s="32" t="n">
        <f aca="false">C23/0.5</f>
        <v>20000</v>
      </c>
      <c r="D24" s="7" t="s">
        <v>377</v>
      </c>
    </row>
    <row r="25" customFormat="false" ht="15" hidden="false" customHeight="true" outlineLevel="0" collapsed="false">
      <c r="A25" s="7" t="s">
        <v>378</v>
      </c>
      <c r="B25" s="39" t="n">
        <f aca="false">B23/3054</f>
        <v>1.93189259986902</v>
      </c>
      <c r="C25" s="39" t="n">
        <f aca="false">C23/3054</f>
        <v>3.27439423706614</v>
      </c>
      <c r="D25" s="7" t="s">
        <v>379</v>
      </c>
    </row>
    <row r="26" customFormat="false" ht="15" hidden="false" customHeight="true" outlineLevel="0" collapsed="false">
      <c r="A26" s="7" t="s">
        <v>380</v>
      </c>
      <c r="B26" s="32" t="n">
        <f aca="false">B24/12</f>
        <v>983.333333333333</v>
      </c>
      <c r="C26" s="32" t="n">
        <f aca="false">C24/12</f>
        <v>1666.66666666667</v>
      </c>
      <c r="D26" s="7" t="s">
        <v>381</v>
      </c>
    </row>
    <row r="27" customFormat="false" ht="15" hidden="false" customHeight="true" outlineLevel="0" collapsed="false">
      <c r="A27" s="7" t="s">
        <v>382</v>
      </c>
      <c r="B27" s="40" t="n">
        <f aca="false">B26/77</f>
        <v>12.7705627705628</v>
      </c>
      <c r="C27" s="40" t="n">
        <f aca="false">C26/77</f>
        <v>21.6450216450216</v>
      </c>
      <c r="D27" s="7" t="s">
        <v>383</v>
      </c>
    </row>
    <row r="28" customFormat="false" ht="15" hidden="false" customHeight="true" outlineLevel="0" collapsed="false">
      <c r="A28" s="7" t="s">
        <v>384</v>
      </c>
      <c r="B28" s="33" t="n">
        <f aca="false">Supuestos!$B$61</f>
        <v>11400</v>
      </c>
      <c r="C28" s="33" t="n">
        <f aca="false">Supuestos!$B$65</f>
        <v>12400</v>
      </c>
      <c r="D28" s="7" t="s">
        <v>32</v>
      </c>
    </row>
    <row r="29" customFormat="false" ht="15" hidden="false" customHeight="true" outlineLevel="0" collapsed="false">
      <c r="A29" s="7" t="s">
        <v>385</v>
      </c>
      <c r="B29" s="32" t="n">
        <f aca="false">B28/1.03</f>
        <v>11067.9611650485</v>
      </c>
      <c r="C29" s="32" t="n">
        <f aca="false">C28/1.03</f>
        <v>12038.8349514563</v>
      </c>
      <c r="D29" s="7" t="s">
        <v>386</v>
      </c>
    </row>
    <row r="30" customFormat="false" ht="15" hidden="false" customHeight="true" outlineLevel="0" collapsed="false">
      <c r="A30" s="7" t="s">
        <v>387</v>
      </c>
      <c r="B30" s="39" t="n">
        <f aca="false">B28/9800</f>
        <v>1.16326530612245</v>
      </c>
      <c r="C30" s="39" t="n">
        <f aca="false">C28/9800</f>
        <v>1.26530612244898</v>
      </c>
      <c r="D30" s="7" t="s">
        <v>388</v>
      </c>
    </row>
    <row r="31" customFormat="false" ht="15" hidden="false" customHeight="true" outlineLevel="0" collapsed="false">
      <c r="A31" s="7" t="s">
        <v>389</v>
      </c>
      <c r="B31" s="32" t="n">
        <f aca="false">B29/12</f>
        <v>922.330097087379</v>
      </c>
      <c r="C31" s="32" t="n">
        <f aca="false">C29/12</f>
        <v>1003.23624595469</v>
      </c>
      <c r="D31" s="7" t="s">
        <v>381</v>
      </c>
    </row>
    <row r="32" customFormat="false" ht="15" hidden="false" customHeight="true" outlineLevel="0" collapsed="false">
      <c r="A32" s="7" t="s">
        <v>390</v>
      </c>
      <c r="B32" s="40" t="n">
        <f aca="false">B31/45</f>
        <v>20.4962243797195</v>
      </c>
      <c r="C32" s="40" t="n">
        <f aca="false">C31/45</f>
        <v>22.2941387989932</v>
      </c>
      <c r="D32" s="7" t="s">
        <v>391</v>
      </c>
    </row>
    <row r="33" customFormat="false" ht="15" hidden="false" customHeight="true" outlineLevel="0" collapsed="false">
      <c r="A33" s="7" t="s">
        <v>392</v>
      </c>
      <c r="B33" s="32" t="n">
        <f aca="false">B18*Beneficios_OPEX!$B$8+B23*Beneficios_OPEX!$C$8+B28*Beneficios_OPEX!$D$8</f>
        <v>50929.4</v>
      </c>
      <c r="C33" s="32" t="n">
        <f aca="false">C18*Beneficios_OPEX!$B$8+C23*Beneficios_OPEX!$C$8+C28*Beneficios_OPEX!$D$8</f>
        <v>68098</v>
      </c>
      <c r="D33" s="7" t="s">
        <v>393</v>
      </c>
    </row>
    <row r="35" customFormat="false" ht="15" hidden="false" customHeight="true" outlineLevel="0" collapsed="false">
      <c r="A35" s="12" t="s">
        <v>394</v>
      </c>
      <c r="B35" s="13"/>
      <c r="C35" s="13"/>
      <c r="D35" s="13"/>
    </row>
    <row r="36" customFormat="false" ht="15" hidden="false" customHeight="true" outlineLevel="0" collapsed="false">
      <c r="A36" s="7" t="s">
        <v>395</v>
      </c>
      <c r="B36" s="30" t="n">
        <v>28800</v>
      </c>
      <c r="C36" s="30" t="n">
        <v>28800</v>
      </c>
      <c r="D36" s="7" t="s">
        <v>396</v>
      </c>
    </row>
    <row r="37" customFormat="false" ht="15" hidden="false" customHeight="true" outlineLevel="0" collapsed="false">
      <c r="A37" s="7" t="s">
        <v>397</v>
      </c>
      <c r="B37" s="30" t="n">
        <v>7200</v>
      </c>
      <c r="C37" s="30" t="n">
        <v>7200</v>
      </c>
      <c r="D37" s="7" t="s">
        <v>398</v>
      </c>
    </row>
    <row r="38" customFormat="false" ht="15" hidden="false" customHeight="true" outlineLevel="0" collapsed="false">
      <c r="A38" s="7" t="s">
        <v>399</v>
      </c>
      <c r="B38" s="39" t="n">
        <f aca="false">B19/B36+B24/B37</f>
        <v>7.75</v>
      </c>
      <c r="C38" s="39" t="n">
        <f aca="false">C19/C36+C24/C37</f>
        <v>9.72222222222222</v>
      </c>
      <c r="D38" s="7" t="s">
        <v>400</v>
      </c>
    </row>
    <row r="39" customFormat="false" ht="15" hidden="false" customHeight="true" outlineLevel="0" collapsed="false">
      <c r="A39" s="7" t="s">
        <v>401</v>
      </c>
      <c r="B39" s="30" t="n">
        <v>2</v>
      </c>
      <c r="C39" s="30" t="n">
        <v>2</v>
      </c>
      <c r="D39" s="7" t="s">
        <v>402</v>
      </c>
    </row>
    <row r="40" customFormat="false" ht="15" hidden="false" customHeight="true" outlineLevel="0" collapsed="false">
      <c r="A40" s="7" t="s">
        <v>403</v>
      </c>
      <c r="B40" s="30" t="n">
        <v>90</v>
      </c>
      <c r="C40" s="30" t="n">
        <v>35</v>
      </c>
      <c r="D40" s="7" t="s">
        <v>404</v>
      </c>
    </row>
    <row r="41" customFormat="false" ht="23.25" hidden="false" customHeight="true" outlineLevel="0" collapsed="false">
      <c r="A41" s="7" t="s">
        <v>405</v>
      </c>
      <c r="B41" s="41" t="n">
        <v>2.2</v>
      </c>
      <c r="C41" s="41" t="n">
        <v>1.5</v>
      </c>
      <c r="D41" s="7" t="s">
        <v>406</v>
      </c>
    </row>
    <row r="42" customFormat="false" ht="15" hidden="false" customHeight="true" outlineLevel="0" collapsed="false">
      <c r="A42" s="7" t="s">
        <v>407</v>
      </c>
      <c r="B42" s="30" t="n">
        <v>25</v>
      </c>
      <c r="C42" s="30" t="n">
        <v>20</v>
      </c>
      <c r="D42" s="7" t="s">
        <v>408</v>
      </c>
    </row>
    <row r="43" customFormat="false" ht="15" hidden="false" customHeight="true" outlineLevel="0" collapsed="false">
      <c r="A43" s="7" t="s">
        <v>409</v>
      </c>
      <c r="B43" s="30" t="n">
        <v>30</v>
      </c>
      <c r="C43" s="30" t="n">
        <v>15</v>
      </c>
      <c r="D43" s="7" t="s">
        <v>410</v>
      </c>
    </row>
    <row r="44" customFormat="false" ht="15" hidden="false" customHeight="true" outlineLevel="0" collapsed="false">
      <c r="A44" s="7" t="s">
        <v>411</v>
      </c>
      <c r="B44" s="32" t="n">
        <f aca="false">B41*B42+B43</f>
        <v>85</v>
      </c>
      <c r="C44" s="32" t="n">
        <f aca="false">C41*C42+C43</f>
        <v>45</v>
      </c>
      <c r="D44" s="7" t="s">
        <v>412</v>
      </c>
    </row>
    <row r="45" customFormat="false" ht="15" hidden="false" customHeight="true" outlineLevel="0" collapsed="false">
      <c r="A45" s="7" t="s">
        <v>413</v>
      </c>
      <c r="B45" s="38" t="n">
        <f aca="false">(B11-B39*B40-B44)/B11</f>
        <v>0.68452380952381</v>
      </c>
      <c r="C45" s="38" t="n">
        <f aca="false">(C11-C39*C40-C44)/C11</f>
        <v>0.863095238095238</v>
      </c>
      <c r="D45" s="7" t="s">
        <v>414</v>
      </c>
    </row>
    <row r="46" customFormat="false" ht="15" hidden="false" customHeight="true" outlineLevel="0" collapsed="false">
      <c r="A46" s="7" t="s">
        <v>415</v>
      </c>
      <c r="B46" s="40" t="n">
        <f aca="false">(B11-B39*B40-B44)/60/B41</f>
        <v>4.35606060606061</v>
      </c>
      <c r="C46" s="40" t="n">
        <f aca="false">(C11-C39*C40-C44)/60/C41</f>
        <v>8.05555555555556</v>
      </c>
      <c r="D46" s="7" t="s">
        <v>416</v>
      </c>
    </row>
    <row r="47" customFormat="false" ht="23.25" hidden="false" customHeight="true" outlineLevel="0" collapsed="false">
      <c r="A47" s="7" t="s">
        <v>417</v>
      </c>
      <c r="B47" s="42" t="n">
        <v>0.835</v>
      </c>
      <c r="C47" s="42" t="n">
        <v>0.913</v>
      </c>
      <c r="D47" s="7" t="s">
        <v>418</v>
      </c>
    </row>
    <row r="48" customFormat="false" ht="15" hidden="false" customHeight="true" outlineLevel="0" collapsed="false">
      <c r="A48" s="7" t="s">
        <v>419</v>
      </c>
      <c r="B48" s="38" t="n">
        <f aca="false">1-Supuestos!$B$71</f>
        <v>0.97</v>
      </c>
      <c r="C48" s="38" t="n">
        <f aca="false">1-Supuestos!$B$72</f>
        <v>0.99</v>
      </c>
      <c r="D48" s="7" t="s">
        <v>420</v>
      </c>
    </row>
    <row r="49" customFormat="false" ht="15" hidden="false" customHeight="true" outlineLevel="0" collapsed="false">
      <c r="A49" s="7" t="s">
        <v>421</v>
      </c>
      <c r="B49" s="38" t="n">
        <f aca="false">B45*B47*B48</f>
        <v>0.55443005952381</v>
      </c>
      <c r="C49" s="38" t="n">
        <f aca="false">C45*C47*C48</f>
        <v>0.780125892857143</v>
      </c>
      <c r="D49" s="7" t="s">
        <v>422</v>
      </c>
    </row>
    <row r="50" customFormat="false" ht="15" hidden="false" customHeight="true" outlineLevel="0" collapsed="false">
      <c r="A50" s="7" t="s">
        <v>423</v>
      </c>
      <c r="B50" s="39" t="n">
        <f aca="false">B38/B49</f>
        <v>13.9783185757575</v>
      </c>
      <c r="C50" s="39" t="n">
        <f aca="false">C38/C49</f>
        <v>12.4623760232024</v>
      </c>
      <c r="D50" s="7" t="s">
        <v>424</v>
      </c>
    </row>
    <row r="51" customFormat="false" ht="15" hidden="false" customHeight="true" outlineLevel="0" collapsed="false">
      <c r="A51" s="7" t="s">
        <v>425</v>
      </c>
      <c r="B51" s="38" t="n">
        <f aca="false">B50*60/B11</f>
        <v>0.998451326839821</v>
      </c>
      <c r="C51" s="38" t="n">
        <f aca="false">C50*60/C11</f>
        <v>0.890169715943028</v>
      </c>
      <c r="D51" s="7" t="s">
        <v>426</v>
      </c>
    </row>
    <row r="53" customFormat="false" ht="15" hidden="false" customHeight="true" outlineLevel="0" collapsed="false">
      <c r="A53" s="12" t="s">
        <v>427</v>
      </c>
      <c r="B53" s="13"/>
      <c r="C53" s="13"/>
      <c r="D53" s="13"/>
    </row>
    <row r="54" customFormat="false" ht="15" hidden="false" customHeight="true" outlineLevel="0" collapsed="false">
      <c r="A54" s="7" t="s">
        <v>428</v>
      </c>
      <c r="B54" s="30" t="n">
        <v>6000</v>
      </c>
      <c r="C54" s="30" t="n">
        <v>6000</v>
      </c>
      <c r="D54" s="7" t="s">
        <v>429</v>
      </c>
    </row>
    <row r="55" customFormat="false" ht="15" hidden="false" customHeight="true" outlineLevel="0" collapsed="false">
      <c r="A55" s="7" t="s">
        <v>430</v>
      </c>
      <c r="B55" s="42" t="n">
        <v>0.55</v>
      </c>
      <c r="C55" s="42" t="n">
        <v>0.8</v>
      </c>
      <c r="D55" s="7" t="s">
        <v>431</v>
      </c>
    </row>
    <row r="56" customFormat="false" ht="15" hidden="false" customHeight="true" outlineLevel="0" collapsed="false">
      <c r="A56" s="7" t="s">
        <v>432</v>
      </c>
      <c r="B56" s="38" t="n">
        <f aca="false">B29/B54/B55*60/B11</f>
        <v>0.239566258983735</v>
      </c>
      <c r="C56" s="38" t="n">
        <f aca="false">C29/C54/C55*60/C11</f>
        <v>0.179149329634767</v>
      </c>
      <c r="D56" s="7" t="s">
        <v>433</v>
      </c>
    </row>
    <row r="58" customFormat="false" ht="15" hidden="false" customHeight="true" outlineLevel="0" collapsed="false">
      <c r="A58" s="12" t="s">
        <v>434</v>
      </c>
      <c r="B58" s="13"/>
      <c r="C58" s="13"/>
      <c r="D58" s="13"/>
    </row>
    <row r="59" customFormat="false" ht="15" hidden="false" customHeight="true" outlineLevel="0" collapsed="false">
      <c r="A59" s="7" t="s">
        <v>435</v>
      </c>
      <c r="B59" s="39" t="n">
        <f aca="false">C59+B62</f>
        <v>9.25</v>
      </c>
      <c r="C59" s="43" t="n">
        <v>8</v>
      </c>
      <c r="D59" s="7"/>
    </row>
    <row r="60" customFormat="false" ht="15" hidden="false" customHeight="true" outlineLevel="0" collapsed="false">
      <c r="A60" s="7" t="s">
        <v>436</v>
      </c>
      <c r="B60" s="39" t="n">
        <f aca="false">C60+B62</f>
        <v>11.75</v>
      </c>
      <c r="C60" s="43" t="n">
        <v>10.5</v>
      </c>
      <c r="D60" s="7"/>
    </row>
    <row r="61" customFormat="false" ht="15" hidden="false" customHeight="true" outlineLevel="0" collapsed="false">
      <c r="A61" s="7" t="s">
        <v>437</v>
      </c>
      <c r="B61" s="39" t="n">
        <f aca="false">C61+B62</f>
        <v>24.75</v>
      </c>
      <c r="C61" s="43" t="n">
        <v>23.5</v>
      </c>
      <c r="D61" s="7" t="s">
        <v>438</v>
      </c>
    </row>
    <row r="62" customFormat="false" ht="23.25" hidden="false" customHeight="true" outlineLevel="0" collapsed="false">
      <c r="A62" s="7" t="s">
        <v>439</v>
      </c>
      <c r="B62" s="43" t="n">
        <v>1.25</v>
      </c>
      <c r="C62" s="43" t="n">
        <v>0</v>
      </c>
      <c r="D62" s="7" t="s">
        <v>440</v>
      </c>
    </row>
    <row r="63" customFormat="false" ht="15" hidden="false" customHeight="true" outlineLevel="0" collapsed="false">
      <c r="A63" s="7" t="s">
        <v>441</v>
      </c>
      <c r="B63" s="40" t="n">
        <f aca="false">B20*B59+B25*B60+B30*B61</f>
        <v>72.9794667297963</v>
      </c>
      <c r="C63" s="40" t="n">
        <f aca="false">C20*C59+C25*C60+C30*C61</f>
        <v>85.2351575483717</v>
      </c>
      <c r="D63" s="7" t="s">
        <v>442</v>
      </c>
    </row>
    <row r="64" customFormat="false" ht="15" hidden="false" customHeight="true" outlineLevel="0" collapsed="false">
      <c r="A64" s="7" t="s">
        <v>443</v>
      </c>
      <c r="B64" s="30" t="n">
        <v>96</v>
      </c>
      <c r="C64" s="30" t="n">
        <v>96</v>
      </c>
      <c r="D64" s="7" t="s">
        <v>444</v>
      </c>
    </row>
    <row r="65" customFormat="false" ht="15" hidden="false" customHeight="true" outlineLevel="0" collapsed="false">
      <c r="A65" s="7" t="s">
        <v>445</v>
      </c>
      <c r="B65" s="38" t="n">
        <f aca="false">B63/B64</f>
        <v>0.760202778435378</v>
      </c>
      <c r="C65" s="38" t="n">
        <f aca="false">C63/C64</f>
        <v>0.887866224462205</v>
      </c>
      <c r="D65" s="7" t="s">
        <v>446</v>
      </c>
    </row>
    <row r="67" customFormat="false" ht="15" hidden="false" customHeight="true" outlineLevel="0" collapsed="false">
      <c r="A67" s="12" t="s">
        <v>447</v>
      </c>
      <c r="B67" s="13"/>
      <c r="C67" s="13"/>
      <c r="D67" s="13"/>
    </row>
    <row r="68" customFormat="false" ht="15" hidden="false" customHeight="true" outlineLevel="0" collapsed="false">
      <c r="A68" s="7" t="s">
        <v>448</v>
      </c>
      <c r="B68" s="32" t="n">
        <f aca="false">B21+B26+B31</f>
        <v>9238.99676375405</v>
      </c>
      <c r="C68" s="32" t="n">
        <f aca="false">C21+C26+C31</f>
        <v>11003.2362459547</v>
      </c>
      <c r="D68" s="7" t="s">
        <v>449</v>
      </c>
    </row>
    <row r="69" customFormat="false" ht="15" hidden="false" customHeight="true" outlineLevel="0" collapsed="false">
      <c r="A69" s="7" t="s">
        <v>450</v>
      </c>
      <c r="B69" s="32" t="n">
        <f aca="false">B22+B27+B32</f>
        <v>98.7429776264728</v>
      </c>
      <c r="C69" s="32" t="n">
        <f aca="false">C22+C27+C32</f>
        <v>118.343922348777</v>
      </c>
      <c r="D69" s="7" t="s">
        <v>449</v>
      </c>
    </row>
    <row r="70" customFormat="false" ht="23.25" hidden="false" customHeight="true" outlineLevel="0" collapsed="false">
      <c r="A70" s="7" t="s">
        <v>451</v>
      </c>
      <c r="B70" s="30" t="n">
        <v>4</v>
      </c>
      <c r="C70" s="30" t="n">
        <v>1</v>
      </c>
      <c r="D70" s="7" t="s">
        <v>452</v>
      </c>
    </row>
    <row r="71" customFormat="false" ht="15" hidden="false" customHeight="true" outlineLevel="0" collapsed="false">
      <c r="A71" s="7" t="s">
        <v>453</v>
      </c>
      <c r="B71" s="32" t="n">
        <f aca="false">B68/(B70*B9*(B11/B9)/60)</f>
        <v>164.982085067037</v>
      </c>
      <c r="C71" s="32" t="n">
        <f aca="false">C68/(C70*C9*(C11/C9)/60)</f>
        <v>785.945446139621</v>
      </c>
      <c r="D71" s="7" t="s">
        <v>454</v>
      </c>
    </row>
    <row r="73" customFormat="false" ht="23.25" hidden="false" customHeight="true" outlineLevel="0" collapsed="false">
      <c r="A73" s="12" t="s">
        <v>455</v>
      </c>
      <c r="B73" s="13"/>
      <c r="C73" s="13"/>
      <c r="D73" s="13"/>
    </row>
    <row r="74" customFormat="false" ht="15" hidden="false" customHeight="true" outlineLevel="0" collapsed="false">
      <c r="A74" s="5" t="s">
        <v>456</v>
      </c>
      <c r="B74" s="5" t="s">
        <v>457</v>
      </c>
      <c r="C74" s="5" t="s">
        <v>458</v>
      </c>
      <c r="D74" s="5" t="s">
        <v>459</v>
      </c>
    </row>
    <row r="75" customFormat="false" ht="15" hidden="false" customHeight="true" outlineLevel="0" collapsed="false">
      <c r="A75" s="7" t="s">
        <v>460</v>
      </c>
      <c r="B75" s="43" t="n">
        <v>12</v>
      </c>
      <c r="C75" s="43" t="n">
        <v>12</v>
      </c>
      <c r="D75" s="7" t="s">
        <v>461</v>
      </c>
    </row>
    <row r="76" customFormat="false" ht="15" hidden="false" customHeight="true" outlineLevel="0" collapsed="false">
      <c r="A76" s="7" t="s">
        <v>462</v>
      </c>
      <c r="B76" s="43" t="n">
        <v>1.16666666666667</v>
      </c>
      <c r="C76" s="43" t="n">
        <v>1.16666666666667</v>
      </c>
      <c r="D76" s="7" t="s">
        <v>463</v>
      </c>
    </row>
    <row r="77" customFormat="false" ht="15" hidden="false" customHeight="true" outlineLevel="0" collapsed="false">
      <c r="A77" s="7" t="s">
        <v>464</v>
      </c>
      <c r="B77" s="43" t="n">
        <v>1</v>
      </c>
      <c r="C77" s="43" t="n">
        <v>1</v>
      </c>
      <c r="D77" s="7" t="s">
        <v>465</v>
      </c>
    </row>
    <row r="78" customFormat="false" ht="15" hidden="false" customHeight="true" outlineLevel="0" collapsed="false">
      <c r="A78" s="7" t="s">
        <v>466</v>
      </c>
      <c r="B78" s="43" t="n">
        <v>4.5</v>
      </c>
      <c r="C78" s="43" t="n">
        <v>4.5</v>
      </c>
      <c r="D78" s="7" t="s">
        <v>467</v>
      </c>
    </row>
    <row r="79" customFormat="false" ht="15" hidden="false" customHeight="true" outlineLevel="0" collapsed="false">
      <c r="A79" s="7" t="s">
        <v>468</v>
      </c>
      <c r="B79" s="43" t="n">
        <v>0.75</v>
      </c>
      <c r="C79" s="43" t="n">
        <v>0</v>
      </c>
      <c r="D79" s="7" t="s">
        <v>469</v>
      </c>
    </row>
    <row r="80" customFormat="false" ht="15" hidden="false" customHeight="true" outlineLevel="0" collapsed="false">
      <c r="A80" s="7" t="s">
        <v>470</v>
      </c>
      <c r="B80" s="43" t="n">
        <v>1.16666666666667</v>
      </c>
      <c r="C80" s="43" t="n">
        <v>1.16666666666667</v>
      </c>
      <c r="D80" s="7" t="s">
        <v>471</v>
      </c>
    </row>
    <row r="81" customFormat="false" ht="15" hidden="false" customHeight="true" outlineLevel="0" collapsed="false">
      <c r="A81" s="7" t="s">
        <v>472</v>
      </c>
      <c r="B81" s="43" t="n">
        <v>4</v>
      </c>
      <c r="C81" s="43" t="n">
        <v>1.5</v>
      </c>
      <c r="D81" s="7" t="s">
        <v>473</v>
      </c>
    </row>
    <row r="82" customFormat="false" ht="15" hidden="false" customHeight="true" outlineLevel="0" collapsed="false">
      <c r="A82" s="7" t="s">
        <v>474</v>
      </c>
      <c r="B82" s="39" t="n">
        <f aca="false">74200/(B36*B47)</f>
        <v>3.08549567531603</v>
      </c>
      <c r="C82" s="39" t="n">
        <f aca="false">74200/(C36*C47)</f>
        <v>2.82189363514665</v>
      </c>
      <c r="D82" s="7" t="s">
        <v>475</v>
      </c>
    </row>
    <row r="83" customFormat="false" ht="15" hidden="false" customHeight="true" outlineLevel="0" collapsed="false">
      <c r="A83" s="7" t="s">
        <v>476</v>
      </c>
      <c r="B83" s="43" t="n">
        <v>0.5</v>
      </c>
      <c r="C83" s="43" t="n">
        <v>0.3</v>
      </c>
      <c r="D83" s="7" t="s">
        <v>471</v>
      </c>
    </row>
    <row r="84" customFormat="false" ht="15" hidden="false" customHeight="true" outlineLevel="0" collapsed="false">
      <c r="A84" s="7" t="s">
        <v>477</v>
      </c>
      <c r="B84" s="43" t="n">
        <v>24</v>
      </c>
      <c r="C84" s="43" t="n">
        <v>24</v>
      </c>
      <c r="D84" s="7" t="s">
        <v>478</v>
      </c>
    </row>
    <row r="85" customFormat="false" ht="15" hidden="false" customHeight="true" outlineLevel="0" collapsed="false">
      <c r="A85" s="7" t="s">
        <v>479</v>
      </c>
      <c r="B85" s="43" t="n">
        <v>48</v>
      </c>
      <c r="C85" s="43" t="n">
        <v>24</v>
      </c>
      <c r="D85" s="7" t="s">
        <v>480</v>
      </c>
    </row>
    <row r="86" customFormat="false" ht="15" hidden="false" customHeight="true" outlineLevel="0" collapsed="false">
      <c r="A86" s="5" t="s">
        <v>481</v>
      </c>
      <c r="B86" s="44" t="n">
        <f aca="false">SUM(B75:B85)</f>
        <v>100.168829008649</v>
      </c>
      <c r="C86" s="44" t="n">
        <f aca="false">SUM(C75:C85)</f>
        <v>72.45522696848</v>
      </c>
      <c r="D86" s="7" t="s">
        <v>482</v>
      </c>
    </row>
    <row r="87" customFormat="false" ht="15" hidden="false" customHeight="true" outlineLevel="0" collapsed="false">
      <c r="A87" s="5" t="s">
        <v>483</v>
      </c>
      <c r="B87" s="44" t="n">
        <f aca="false">B86/24</f>
        <v>4.17370120869372</v>
      </c>
      <c r="C87" s="44" t="n">
        <f aca="false">C86/24</f>
        <v>3.01896779035333</v>
      </c>
      <c r="D87" s="7"/>
    </row>
    <row r="88" customFormat="false" ht="15" hidden="false" customHeight="true" outlineLevel="0" collapsed="false">
      <c r="A88" s="5" t="s">
        <v>484</v>
      </c>
      <c r="B88" s="44" t="n">
        <f aca="false">B76+B77+B78+B80+B82+B83</f>
        <v>11.4188290086494</v>
      </c>
      <c r="C88" s="44" t="n">
        <f aca="false">C76+C77+C78+C80+C82+C83</f>
        <v>10.95522696848</v>
      </c>
      <c r="D88" s="7" t="s">
        <v>485</v>
      </c>
    </row>
    <row r="89" customFormat="false" ht="15" hidden="false" customHeight="true" outlineLevel="0" collapsed="false">
      <c r="A89" s="5" t="s">
        <v>486</v>
      </c>
      <c r="B89" s="45" t="n">
        <f aca="false">B88/B86</f>
        <v>0.113995832053337</v>
      </c>
      <c r="C89" s="45" t="n">
        <f aca="false">C88/C86</f>
        <v>0.151199953776224</v>
      </c>
      <c r="D89" s="7" t="s">
        <v>487</v>
      </c>
    </row>
    <row r="91" customFormat="false" ht="15" hidden="false" customHeight="true" outlineLevel="0" collapsed="false">
      <c r="A91" s="12" t="s">
        <v>488</v>
      </c>
      <c r="B91" s="13"/>
      <c r="C91" s="13"/>
      <c r="D91" s="13"/>
    </row>
    <row r="92" customFormat="false" ht="15" hidden="false" customHeight="true" outlineLevel="0" collapsed="false">
      <c r="A92" s="5" t="s">
        <v>456</v>
      </c>
      <c r="B92" s="5" t="s">
        <v>457</v>
      </c>
      <c r="C92" s="5" t="s">
        <v>458</v>
      </c>
      <c r="D92" s="5" t="s">
        <v>459</v>
      </c>
    </row>
    <row r="93" customFormat="false" ht="15" hidden="false" customHeight="true" outlineLevel="0" collapsed="false">
      <c r="A93" s="7" t="s">
        <v>489</v>
      </c>
      <c r="B93" s="43" t="n">
        <v>12</v>
      </c>
      <c r="C93" s="43" t="n">
        <v>12</v>
      </c>
      <c r="D93" s="7" t="s">
        <v>490</v>
      </c>
    </row>
    <row r="94" customFormat="false" ht="15" hidden="false" customHeight="true" outlineLevel="0" collapsed="false">
      <c r="A94" s="7" t="s">
        <v>491</v>
      </c>
      <c r="B94" s="43" t="n">
        <v>0.5</v>
      </c>
      <c r="C94" s="43" t="n">
        <v>0.5</v>
      </c>
      <c r="D94" s="7" t="s">
        <v>492</v>
      </c>
    </row>
    <row r="95" customFormat="false" ht="15" hidden="false" customHeight="true" outlineLevel="0" collapsed="false">
      <c r="A95" s="7" t="s">
        <v>493</v>
      </c>
      <c r="B95" s="43" t="n">
        <v>1.2</v>
      </c>
      <c r="C95" s="43" t="n">
        <v>1.2</v>
      </c>
      <c r="D95" s="7" t="s">
        <v>471</v>
      </c>
    </row>
    <row r="96" customFormat="false" ht="15" hidden="false" customHeight="true" outlineLevel="0" collapsed="false">
      <c r="A96" s="7" t="s">
        <v>494</v>
      </c>
      <c r="B96" s="43" t="n">
        <v>6</v>
      </c>
      <c r="C96" s="43" t="n">
        <v>6</v>
      </c>
      <c r="D96" s="7" t="s">
        <v>471</v>
      </c>
    </row>
    <row r="97" customFormat="false" ht="15" hidden="false" customHeight="true" outlineLevel="0" collapsed="false">
      <c r="A97" s="7" t="s">
        <v>495</v>
      </c>
      <c r="B97" s="43" t="n">
        <v>0.75</v>
      </c>
      <c r="C97" s="43" t="n">
        <v>0</v>
      </c>
      <c r="D97" s="7" t="s">
        <v>496</v>
      </c>
    </row>
    <row r="98" customFormat="false" ht="15" hidden="false" customHeight="true" outlineLevel="0" collapsed="false">
      <c r="A98" s="7" t="s">
        <v>497</v>
      </c>
      <c r="B98" s="43" t="n">
        <v>2</v>
      </c>
      <c r="C98" s="43" t="n">
        <v>2</v>
      </c>
      <c r="D98" s="7" t="s">
        <v>498</v>
      </c>
    </row>
    <row r="99" customFormat="false" ht="15" hidden="false" customHeight="true" outlineLevel="0" collapsed="false">
      <c r="A99" s="7" t="s">
        <v>472</v>
      </c>
      <c r="B99" s="43" t="n">
        <v>4</v>
      </c>
      <c r="C99" s="43" t="n">
        <v>3</v>
      </c>
      <c r="D99" s="7" t="s">
        <v>499</v>
      </c>
    </row>
    <row r="100" customFormat="false" ht="15" hidden="false" customHeight="true" outlineLevel="0" collapsed="false">
      <c r="A100" s="7" t="s">
        <v>500</v>
      </c>
      <c r="B100" s="39" t="n">
        <f aca="false">5990/(B37*B47)</f>
        <v>0.996340652029275</v>
      </c>
      <c r="C100" s="39" t="n">
        <f aca="false">5990/(C37*C47)</f>
        <v>0.911220640136303</v>
      </c>
      <c r="D100" s="7" t="s">
        <v>471</v>
      </c>
    </row>
    <row r="101" customFormat="false" ht="15" hidden="false" customHeight="true" outlineLevel="0" collapsed="false">
      <c r="A101" s="7" t="s">
        <v>476</v>
      </c>
      <c r="B101" s="43" t="n">
        <v>0.5</v>
      </c>
      <c r="C101" s="43" t="n">
        <v>0.3</v>
      </c>
      <c r="D101" s="7" t="s">
        <v>471</v>
      </c>
    </row>
    <row r="102" customFormat="false" ht="15" hidden="false" customHeight="true" outlineLevel="0" collapsed="false">
      <c r="A102" s="7" t="s">
        <v>501</v>
      </c>
      <c r="B102" s="43" t="n">
        <v>24</v>
      </c>
      <c r="C102" s="43" t="n">
        <v>24</v>
      </c>
      <c r="D102" s="7" t="s">
        <v>502</v>
      </c>
    </row>
    <row r="103" customFormat="false" ht="15" hidden="false" customHeight="true" outlineLevel="0" collapsed="false">
      <c r="A103" s="7" t="s">
        <v>503</v>
      </c>
      <c r="B103" s="43" t="n">
        <v>48</v>
      </c>
      <c r="C103" s="43" t="n">
        <v>24</v>
      </c>
      <c r="D103" s="7" t="s">
        <v>504</v>
      </c>
    </row>
    <row r="104" customFormat="false" ht="15" hidden="false" customHeight="true" outlineLevel="0" collapsed="false">
      <c r="A104" s="5" t="s">
        <v>505</v>
      </c>
      <c r="B104" s="44" t="n">
        <f aca="false">SUM(B93:B103)</f>
        <v>99.9463406520293</v>
      </c>
      <c r="C104" s="44" t="n">
        <f aca="false">SUM(C93:C103)</f>
        <v>73.9112206401363</v>
      </c>
      <c r="D104" s="7" t="s">
        <v>482</v>
      </c>
    </row>
    <row r="105" customFormat="false" ht="15" hidden="false" customHeight="true" outlineLevel="0" collapsed="false">
      <c r="A105" s="5" t="s">
        <v>506</v>
      </c>
      <c r="B105" s="44" t="n">
        <f aca="false">B94+B95+B96+B98+B100+B101</f>
        <v>11.1963406520293</v>
      </c>
      <c r="C105" s="44" t="n">
        <f aca="false">C94+C95+C96+C98+C100+C101</f>
        <v>10.9112206401363</v>
      </c>
      <c r="D105" s="7" t="s">
        <v>507</v>
      </c>
    </row>
    <row r="106" customFormat="false" ht="15" hidden="false" customHeight="true" outlineLevel="0" collapsed="false">
      <c r="A106" s="5" t="s">
        <v>508</v>
      </c>
      <c r="B106" s="45" t="n">
        <f aca="false">B105/B104</f>
        <v>0.112023517609416</v>
      </c>
      <c r="C106" s="45" t="n">
        <f aca="false">C105/C104</f>
        <v>0.147626037638609</v>
      </c>
      <c r="D106" s="7"/>
    </row>
    <row r="108" customFormat="false" ht="15" hidden="false" customHeight="true" outlineLevel="0" collapsed="false">
      <c r="A108" s="12" t="s">
        <v>509</v>
      </c>
      <c r="B108" s="13"/>
      <c r="C108" s="13"/>
      <c r="D108" s="13"/>
    </row>
    <row r="109" customFormat="false" ht="15" hidden="false" customHeight="true" outlineLevel="0" collapsed="false">
      <c r="A109" s="5" t="s">
        <v>456</v>
      </c>
      <c r="B109" s="5" t="s">
        <v>457</v>
      </c>
      <c r="C109" s="5" t="s">
        <v>458</v>
      </c>
      <c r="D109" s="5" t="s">
        <v>459</v>
      </c>
    </row>
    <row r="110" customFormat="false" ht="15" hidden="false" customHeight="true" outlineLevel="0" collapsed="false">
      <c r="A110" s="7" t="s">
        <v>489</v>
      </c>
      <c r="B110" s="43" t="n">
        <v>12</v>
      </c>
      <c r="C110" s="43" t="n">
        <v>12</v>
      </c>
      <c r="D110" s="7" t="s">
        <v>490</v>
      </c>
    </row>
    <row r="111" customFormat="false" ht="15" hidden="false" customHeight="true" outlineLevel="0" collapsed="false">
      <c r="A111" s="7" t="s">
        <v>491</v>
      </c>
      <c r="B111" s="43" t="n">
        <v>0.5</v>
      </c>
      <c r="C111" s="43" t="n">
        <v>0.5</v>
      </c>
      <c r="D111" s="7" t="s">
        <v>471</v>
      </c>
    </row>
    <row r="112" customFormat="false" ht="15" hidden="false" customHeight="true" outlineLevel="0" collapsed="false">
      <c r="A112" s="7" t="s">
        <v>510</v>
      </c>
      <c r="B112" s="43" t="n">
        <v>1</v>
      </c>
      <c r="C112" s="43" t="n">
        <v>1</v>
      </c>
      <c r="D112" s="7" t="s">
        <v>471</v>
      </c>
    </row>
    <row r="113" customFormat="false" ht="15" hidden="false" customHeight="true" outlineLevel="0" collapsed="false">
      <c r="A113" s="7" t="s">
        <v>511</v>
      </c>
      <c r="B113" s="43" t="n">
        <v>20</v>
      </c>
      <c r="C113" s="43" t="n">
        <v>20</v>
      </c>
      <c r="D113" s="7" t="s">
        <v>471</v>
      </c>
    </row>
    <row r="114" customFormat="false" ht="15" hidden="false" customHeight="true" outlineLevel="0" collapsed="false">
      <c r="A114" s="7" t="s">
        <v>495</v>
      </c>
      <c r="B114" s="43" t="n">
        <v>0.75</v>
      </c>
      <c r="C114" s="43" t="n">
        <v>0</v>
      </c>
      <c r="D114" s="7" t="s">
        <v>496</v>
      </c>
    </row>
    <row r="115" customFormat="false" ht="15" hidden="false" customHeight="true" outlineLevel="0" collapsed="false">
      <c r="A115" s="7" t="s">
        <v>512</v>
      </c>
      <c r="B115" s="43" t="n">
        <v>1.25</v>
      </c>
      <c r="C115" s="43" t="n">
        <v>1.25</v>
      </c>
      <c r="D115" s="7" t="s">
        <v>471</v>
      </c>
    </row>
    <row r="116" customFormat="false" ht="15" hidden="false" customHeight="true" outlineLevel="0" collapsed="false">
      <c r="A116" s="7" t="s">
        <v>513</v>
      </c>
      <c r="B116" s="43" t="n">
        <v>12</v>
      </c>
      <c r="C116" s="43" t="n">
        <v>12</v>
      </c>
      <c r="D116" s="7" t="s">
        <v>514</v>
      </c>
    </row>
    <row r="117" customFormat="false" ht="15" hidden="false" customHeight="true" outlineLevel="0" collapsed="false">
      <c r="A117" s="7" t="s">
        <v>515</v>
      </c>
      <c r="B117" s="43" t="n">
        <v>2</v>
      </c>
      <c r="C117" s="43" t="n">
        <v>0.5</v>
      </c>
      <c r="D117" s="7" t="s">
        <v>516</v>
      </c>
    </row>
    <row r="118" customFormat="false" ht="15" hidden="false" customHeight="true" outlineLevel="0" collapsed="false">
      <c r="A118" s="7" t="s">
        <v>517</v>
      </c>
      <c r="B118" s="39" t="n">
        <f aca="false">9500/(B54*B47)</f>
        <v>1.89620758483034</v>
      </c>
      <c r="C118" s="39" t="n">
        <f aca="false">9500/(C54*C47)</f>
        <v>1.73420956553487</v>
      </c>
      <c r="D118" s="7" t="s">
        <v>471</v>
      </c>
    </row>
    <row r="119" customFormat="false" ht="15" hidden="false" customHeight="true" outlineLevel="0" collapsed="false">
      <c r="A119" s="7" t="s">
        <v>476</v>
      </c>
      <c r="B119" s="43" t="n">
        <v>0.5</v>
      </c>
      <c r="C119" s="43" t="n">
        <v>0.3</v>
      </c>
      <c r="D119" s="7" t="s">
        <v>471</v>
      </c>
    </row>
    <row r="120" customFormat="false" ht="15" hidden="false" customHeight="true" outlineLevel="0" collapsed="false">
      <c r="A120" s="7" t="s">
        <v>518</v>
      </c>
      <c r="B120" s="43" t="n">
        <v>48</v>
      </c>
      <c r="C120" s="43" t="n">
        <v>48</v>
      </c>
      <c r="D120" s="7" t="s">
        <v>502</v>
      </c>
    </row>
    <row r="121" customFormat="false" ht="15" hidden="false" customHeight="true" outlineLevel="0" collapsed="false">
      <c r="A121" s="7" t="s">
        <v>503</v>
      </c>
      <c r="B121" s="43" t="n">
        <v>48</v>
      </c>
      <c r="C121" s="43" t="n">
        <v>24</v>
      </c>
      <c r="D121" s="7" t="s">
        <v>504</v>
      </c>
    </row>
    <row r="122" customFormat="false" ht="15" hidden="false" customHeight="true" outlineLevel="0" collapsed="false">
      <c r="A122" s="5" t="s">
        <v>519</v>
      </c>
      <c r="B122" s="44" t="n">
        <f aca="false">SUM(B110:B121)</f>
        <v>147.89620758483</v>
      </c>
      <c r="C122" s="44" t="n">
        <f aca="false">SUM(C110:C121)</f>
        <v>121.284209565535</v>
      </c>
      <c r="D122" s="7" t="s">
        <v>482</v>
      </c>
    </row>
    <row r="123" customFormat="false" ht="15" hidden="false" customHeight="true" outlineLevel="0" collapsed="false">
      <c r="A123" s="5" t="s">
        <v>520</v>
      </c>
      <c r="B123" s="44" t="n">
        <f aca="false">B111+B112+B113+B115+B116+B118+B119</f>
        <v>37.1462075848303</v>
      </c>
      <c r="C123" s="44" t="n">
        <f aca="false">C111+C112+C113+C115+C116+C118+C119</f>
        <v>36.7842095655349</v>
      </c>
      <c r="D123" s="7" t="s">
        <v>507</v>
      </c>
    </row>
    <row r="124" customFormat="false" ht="15" hidden="false" customHeight="true" outlineLevel="0" collapsed="false">
      <c r="A124" s="5" t="s">
        <v>521</v>
      </c>
      <c r="B124" s="45" t="n">
        <f aca="false">B123/B122</f>
        <v>0.251164030446988</v>
      </c>
      <c r="C124" s="45" t="n">
        <f aca="false">C123/C122</f>
        <v>0.303289353967046</v>
      </c>
      <c r="D124" s="7"/>
    </row>
    <row r="125" customFormat="false" ht="15" hidden="false" customHeight="true" outlineLevel="0" collapsed="false">
      <c r="A125" s="12" t="s">
        <v>522</v>
      </c>
      <c r="B125" s="13"/>
      <c r="C125" s="13"/>
      <c r="D125" s="13"/>
    </row>
    <row r="126" customFormat="false" ht="15" hidden="false" customHeight="true" outlineLevel="0" collapsed="false">
      <c r="A126" s="5" t="s">
        <v>523</v>
      </c>
      <c r="B126" s="5" t="s">
        <v>524</v>
      </c>
      <c r="C126" s="5" t="s">
        <v>525</v>
      </c>
      <c r="D126" s="5" t="s">
        <v>526</v>
      </c>
    </row>
    <row r="127" customFormat="false" ht="15" hidden="false" customHeight="true" outlineLevel="0" collapsed="false">
      <c r="A127" s="7" t="s">
        <v>527</v>
      </c>
      <c r="B127" s="33" t="n">
        <f aca="false">B7</f>
        <v>43700</v>
      </c>
      <c r="C127" s="33" t="n">
        <f aca="false">C7</f>
        <v>52400</v>
      </c>
      <c r="D127" s="7" t="s">
        <v>528</v>
      </c>
    </row>
    <row r="128" customFormat="false" ht="15" hidden="false" customHeight="true" outlineLevel="0" collapsed="false">
      <c r="A128" s="7" t="s">
        <v>363</v>
      </c>
      <c r="B128" s="33" t="n">
        <f aca="false">B15</f>
        <v>21850</v>
      </c>
      <c r="C128" s="33" t="n">
        <f aca="false">C15</f>
        <v>26200</v>
      </c>
      <c r="D128" s="7" t="s">
        <v>364</v>
      </c>
    </row>
    <row r="129" customFormat="false" ht="15" hidden="false" customHeight="true" outlineLevel="0" collapsed="false">
      <c r="A129" s="7" t="s">
        <v>529</v>
      </c>
      <c r="B129" s="33" t="n">
        <f aca="false">B14</f>
        <v>3121.42857142857</v>
      </c>
      <c r="C129" s="33" t="n">
        <f aca="false">C14</f>
        <v>3742.85714285714</v>
      </c>
      <c r="D129" s="7" t="s">
        <v>530</v>
      </c>
    </row>
    <row r="130" customFormat="false" ht="15" hidden="false" customHeight="true" outlineLevel="0" collapsed="false">
      <c r="A130" s="7" t="s">
        <v>531</v>
      </c>
      <c r="B130" s="46" t="n">
        <f aca="false">B13</f>
        <v>1.1533180778032</v>
      </c>
      <c r="C130" s="46" t="n">
        <f aca="false">C13</f>
        <v>0.961832061068702</v>
      </c>
      <c r="D130" s="7" t="s">
        <v>532</v>
      </c>
    </row>
    <row r="131" customFormat="false" ht="15" hidden="false" customHeight="true" outlineLevel="0" collapsed="false">
      <c r="A131" s="7" t="s">
        <v>349</v>
      </c>
      <c r="B131" s="47" t="n">
        <f aca="false">B8</f>
        <v>0.833969465648855</v>
      </c>
      <c r="C131" s="47" t="n">
        <f aca="false">C8</f>
        <v>1</v>
      </c>
      <c r="D131" s="7" t="s">
        <v>533</v>
      </c>
    </row>
    <row r="132" customFormat="false" ht="15" hidden="false" customHeight="true" outlineLevel="0" collapsed="false">
      <c r="A132" s="7" t="s">
        <v>534</v>
      </c>
      <c r="B132" s="47" t="n">
        <f aca="false">B45</f>
        <v>0.68452380952381</v>
      </c>
      <c r="C132" s="47" t="n">
        <f aca="false">C45</f>
        <v>0.863095238095238</v>
      </c>
      <c r="D132" s="7" t="s">
        <v>535</v>
      </c>
    </row>
    <row r="133" customFormat="false" ht="15" hidden="false" customHeight="true" outlineLevel="0" collapsed="false">
      <c r="A133" s="7" t="s">
        <v>536</v>
      </c>
      <c r="B133" s="47" t="n">
        <f aca="false">B47</f>
        <v>0.835</v>
      </c>
      <c r="C133" s="47" t="n">
        <f aca="false">C47</f>
        <v>0.913</v>
      </c>
      <c r="D133" s="7" t="s">
        <v>537</v>
      </c>
    </row>
    <row r="134" customFormat="false" ht="15" hidden="false" customHeight="true" outlineLevel="0" collapsed="false">
      <c r="A134" s="7" t="s">
        <v>419</v>
      </c>
      <c r="B134" s="47" t="n">
        <f aca="false">B48</f>
        <v>0.97</v>
      </c>
      <c r="C134" s="47" t="n">
        <f aca="false">C48</f>
        <v>0.99</v>
      </c>
      <c r="D134" s="7" t="s">
        <v>538</v>
      </c>
    </row>
    <row r="135" customFormat="false" ht="15" hidden="false" customHeight="true" outlineLevel="0" collapsed="false">
      <c r="A135" s="7" t="s">
        <v>421</v>
      </c>
      <c r="B135" s="47" t="n">
        <f aca="false">B49</f>
        <v>0.55443005952381</v>
      </c>
      <c r="C135" s="47" t="n">
        <f aca="false">C49</f>
        <v>0.780125892857143</v>
      </c>
      <c r="D135" s="7" t="s">
        <v>539</v>
      </c>
    </row>
    <row r="136" customFormat="false" ht="15" hidden="false" customHeight="true" outlineLevel="0" collapsed="false">
      <c r="A136" s="7" t="s">
        <v>540</v>
      </c>
      <c r="B136" s="47" t="n">
        <f aca="false">B51</f>
        <v>0.998451326839821</v>
      </c>
      <c r="C136" s="47" t="n">
        <f aca="false">C51</f>
        <v>0.890169715943028</v>
      </c>
      <c r="D136" s="7" t="s">
        <v>541</v>
      </c>
    </row>
    <row r="137" customFormat="false" ht="15" hidden="false" customHeight="true" outlineLevel="0" collapsed="false">
      <c r="A137" s="7" t="s">
        <v>542</v>
      </c>
      <c r="B137" s="47" t="n">
        <f aca="false">B65</f>
        <v>0.760202778435378</v>
      </c>
      <c r="C137" s="47" t="n">
        <f aca="false">C65</f>
        <v>0.887866224462205</v>
      </c>
      <c r="D137" s="7" t="s">
        <v>543</v>
      </c>
    </row>
    <row r="138" customFormat="false" ht="15" hidden="false" customHeight="true" outlineLevel="0" collapsed="false">
      <c r="A138" s="7" t="s">
        <v>544</v>
      </c>
      <c r="B138" s="48" t="n">
        <f aca="false">B87</f>
        <v>4.17370120869372</v>
      </c>
      <c r="C138" s="48" t="n">
        <f aca="false">C87</f>
        <v>3.01896779035333</v>
      </c>
      <c r="D138" s="7" t="s">
        <v>545</v>
      </c>
    </row>
    <row r="139" customFormat="false" ht="15" hidden="false" customHeight="true" outlineLevel="0" collapsed="false">
      <c r="A139" s="7" t="s">
        <v>546</v>
      </c>
      <c r="B139" s="48" t="n">
        <f aca="false">B46</f>
        <v>4.35606060606061</v>
      </c>
      <c r="C139" s="48" t="n">
        <f aca="false">C46</f>
        <v>8.05555555555556</v>
      </c>
      <c r="D139" s="7" t="s">
        <v>547</v>
      </c>
    </row>
    <row r="140" customFormat="false" ht="15" hidden="false" customHeight="true" outlineLevel="0" collapsed="false">
      <c r="A140" s="7" t="s">
        <v>548</v>
      </c>
      <c r="B140" s="33" t="n">
        <f aca="false">B42</f>
        <v>25</v>
      </c>
      <c r="C140" s="33" t="n">
        <f aca="false">C42</f>
        <v>20</v>
      </c>
      <c r="D140" s="7" t="s">
        <v>547</v>
      </c>
    </row>
    <row r="141" customFormat="false" ht="15" hidden="false" customHeight="true" outlineLevel="0" collapsed="false">
      <c r="A141" s="7" t="s">
        <v>549</v>
      </c>
      <c r="B141" s="33" t="n">
        <f aca="false">B40</f>
        <v>90</v>
      </c>
      <c r="C141" s="33" t="n">
        <f aca="false">C40</f>
        <v>35</v>
      </c>
      <c r="D141" s="7" t="s">
        <v>550</v>
      </c>
    </row>
    <row r="142" customFormat="false" ht="15" hidden="false" customHeight="true" outlineLevel="0" collapsed="false">
      <c r="A142" s="7" t="s">
        <v>551</v>
      </c>
      <c r="B142" s="47" t="n">
        <f aca="false">Supuestos!$B$71</f>
        <v>0.03</v>
      </c>
      <c r="C142" s="47" t="n">
        <f aca="false">Supuestos!$B$72</f>
        <v>0.01</v>
      </c>
      <c r="D142" s="7" t="s">
        <v>552</v>
      </c>
    </row>
    <row r="143" customFormat="false" ht="23.25" hidden="false" customHeight="true" outlineLevel="0" collapsed="false">
      <c r="A143" s="7" t="s">
        <v>553</v>
      </c>
      <c r="B143" s="42" t="n">
        <v>0.03</v>
      </c>
      <c r="C143" s="42" t="n">
        <v>0.013</v>
      </c>
      <c r="D143" s="7" t="s">
        <v>554</v>
      </c>
    </row>
    <row r="144" customFormat="false" ht="15" hidden="false" customHeight="true" outlineLevel="0" collapsed="false">
      <c r="A144" s="7" t="s">
        <v>555</v>
      </c>
      <c r="B144" s="42" t="n">
        <v>0.94</v>
      </c>
      <c r="C144" s="42" t="n">
        <v>0.98</v>
      </c>
      <c r="D144" s="7" t="s">
        <v>556</v>
      </c>
    </row>
    <row r="145" customFormat="false" ht="15" hidden="false" customHeight="true" outlineLevel="0" collapsed="false">
      <c r="A145" s="7" t="s">
        <v>557</v>
      </c>
      <c r="B145" s="42" t="n">
        <v>0.25</v>
      </c>
      <c r="C145" s="42" t="n">
        <v>0.1</v>
      </c>
      <c r="D145" s="7" t="s">
        <v>558</v>
      </c>
    </row>
    <row r="146" customFormat="false" ht="15" hidden="false" customHeight="true" outlineLevel="0" collapsed="false">
      <c r="A146" s="7" t="s">
        <v>559</v>
      </c>
      <c r="B146" s="41" t="n">
        <v>6</v>
      </c>
      <c r="C146" s="41" t="n">
        <v>0.5</v>
      </c>
      <c r="D146" s="7" t="s">
        <v>560</v>
      </c>
    </row>
    <row r="147" customFormat="false" ht="15" hidden="false" customHeight="true" outlineLevel="0" collapsed="false">
      <c r="A147" s="7" t="s">
        <v>561</v>
      </c>
      <c r="B147" s="30" t="n">
        <v>7</v>
      </c>
      <c r="C147" s="30" t="n">
        <v>0</v>
      </c>
      <c r="D147" s="7" t="s">
        <v>562</v>
      </c>
    </row>
    <row r="148" customFormat="false" ht="15" hidden="false" customHeight="true" outlineLevel="0" collapsed="false">
      <c r="A148" s="7" t="s">
        <v>563</v>
      </c>
      <c r="B148" s="33" t="n">
        <f aca="false">B70*B9</f>
        <v>8</v>
      </c>
      <c r="C148" s="33" t="n">
        <f aca="false">C70*C9</f>
        <v>2</v>
      </c>
      <c r="D148" s="7" t="s">
        <v>564</v>
      </c>
    </row>
    <row r="149" customFormat="false" ht="15" hidden="false" customHeight="true" outlineLevel="0" collapsed="false">
      <c r="A149" s="7" t="s">
        <v>565</v>
      </c>
      <c r="B149" s="49" t="s">
        <v>566</v>
      </c>
      <c r="C149" s="49" t="s">
        <v>567</v>
      </c>
      <c r="D149" s="7" t="s">
        <v>568</v>
      </c>
    </row>
    <row r="151" customFormat="false" ht="15" hidden="false" customHeight="true" outlineLevel="0" collapsed="false">
      <c r="A151" s="12" t="s">
        <v>569</v>
      </c>
      <c r="B151" s="13"/>
      <c r="C151" s="13"/>
      <c r="D151" s="13"/>
    </row>
    <row r="152" customFormat="false" ht="15" hidden="false" customHeight="true" outlineLevel="0" collapsed="false">
      <c r="A152" s="5" t="s">
        <v>570</v>
      </c>
      <c r="B152" s="5" t="s">
        <v>341</v>
      </c>
      <c r="C152" s="5" t="s">
        <v>342</v>
      </c>
      <c r="D152" s="5" t="s">
        <v>571</v>
      </c>
    </row>
    <row r="153" customFormat="false" ht="34.5" hidden="false" customHeight="true" outlineLevel="0" collapsed="false">
      <c r="A153" s="7" t="s">
        <v>572</v>
      </c>
      <c r="B153" s="7" t="s">
        <v>573</v>
      </c>
      <c r="C153" s="7" t="s">
        <v>574</v>
      </c>
      <c r="D153" s="7" t="s">
        <v>575</v>
      </c>
    </row>
    <row r="154" customFormat="false" ht="34.5" hidden="false" customHeight="true" outlineLevel="0" collapsed="false">
      <c r="A154" s="7" t="s">
        <v>576</v>
      </c>
      <c r="B154" s="7" t="s">
        <v>577</v>
      </c>
      <c r="C154" s="7" t="s">
        <v>578</v>
      </c>
      <c r="D154" s="7" t="s">
        <v>579</v>
      </c>
    </row>
    <row r="155" customFormat="false" ht="34.5" hidden="false" customHeight="true" outlineLevel="0" collapsed="false">
      <c r="A155" s="7" t="s">
        <v>580</v>
      </c>
      <c r="B155" s="7" t="s">
        <v>581</v>
      </c>
      <c r="C155" s="7" t="s">
        <v>582</v>
      </c>
      <c r="D155" s="7" t="s">
        <v>583</v>
      </c>
    </row>
    <row r="156" customFormat="false" ht="23.25" hidden="false" customHeight="true" outlineLevel="0" collapsed="false">
      <c r="A156" s="7" t="s">
        <v>584</v>
      </c>
      <c r="B156" s="7" t="s">
        <v>585</v>
      </c>
      <c r="C156" s="7" t="s">
        <v>586</v>
      </c>
      <c r="D156" s="7" t="s">
        <v>587</v>
      </c>
    </row>
    <row r="157" customFormat="false" ht="23.25" hidden="false" customHeight="true" outlineLevel="0" collapsed="false">
      <c r="A157" s="7" t="s">
        <v>588</v>
      </c>
      <c r="B157" s="7" t="s">
        <v>589</v>
      </c>
      <c r="C157" s="7" t="s">
        <v>590</v>
      </c>
      <c r="D157" s="7" t="s">
        <v>591</v>
      </c>
    </row>
    <row r="158" customFormat="false" ht="34.5" hidden="false" customHeight="true" outlineLevel="0" collapsed="false">
      <c r="A158" s="7" t="s">
        <v>592</v>
      </c>
      <c r="B158" s="7" t="s">
        <v>593</v>
      </c>
      <c r="C158" s="7" t="s">
        <v>594</v>
      </c>
      <c r="D158" s="7" t="s">
        <v>595</v>
      </c>
    </row>
    <row r="160" customFormat="false" ht="15" hidden="false" customHeight="true" outlineLevel="0" collapsed="false">
      <c r="A160" s="12" t="s">
        <v>596</v>
      </c>
      <c r="B160" s="13"/>
      <c r="C160" s="13"/>
      <c r="D160" s="13"/>
    </row>
    <row r="161" customFormat="false" ht="15" hidden="false" customHeight="true" outlineLevel="0" collapsed="false">
      <c r="A161" s="5" t="s">
        <v>597</v>
      </c>
      <c r="B161" s="5" t="s">
        <v>598</v>
      </c>
      <c r="C161" s="5" t="s">
        <v>342</v>
      </c>
      <c r="D161" s="5" t="s">
        <v>315</v>
      </c>
    </row>
    <row r="162" customFormat="false" ht="15" hidden="false" customHeight="true" outlineLevel="0" collapsed="false">
      <c r="A162" s="5" t="s">
        <v>599</v>
      </c>
      <c r="D162" s="7" t="s">
        <v>600</v>
      </c>
    </row>
    <row r="163" customFormat="false" ht="15" hidden="false" customHeight="true" outlineLevel="0" collapsed="false">
      <c r="A163" s="7" t="s">
        <v>601</v>
      </c>
      <c r="B163" s="40" t="n">
        <f aca="false">B46</f>
        <v>4.35606060606061</v>
      </c>
      <c r="C163" s="40" t="n">
        <f aca="false">C46</f>
        <v>8.05555555555556</v>
      </c>
    </row>
    <row r="164" customFormat="false" ht="15" hidden="false" customHeight="true" outlineLevel="0" collapsed="false">
      <c r="A164" s="7" t="s">
        <v>602</v>
      </c>
      <c r="B164" s="32" t="n">
        <f aca="false">B42</f>
        <v>25</v>
      </c>
      <c r="C164" s="32" t="n">
        <f aca="false">C42</f>
        <v>20</v>
      </c>
    </row>
    <row r="165" customFormat="false" ht="15" hidden="false" customHeight="true" outlineLevel="0" collapsed="false">
      <c r="A165" s="7" t="s">
        <v>603</v>
      </c>
      <c r="B165" s="38" t="n">
        <f aca="false">B163/(B163+B164/60)</f>
        <v>0.912698412698413</v>
      </c>
      <c r="C165" s="38" t="n">
        <f aca="false">C163/(C163+C164/60)</f>
        <v>0.960264900662252</v>
      </c>
    </row>
    <row r="166" customFormat="false" ht="15" hidden="false" customHeight="true" outlineLevel="0" collapsed="false">
      <c r="A166" s="5" t="s">
        <v>604</v>
      </c>
      <c r="D166" s="7" t="s">
        <v>605</v>
      </c>
    </row>
    <row r="167" customFormat="false" ht="15" hidden="false" customHeight="true" outlineLevel="0" collapsed="false">
      <c r="A167" s="7" t="s">
        <v>601</v>
      </c>
      <c r="B167" s="41" t="n">
        <v>6</v>
      </c>
      <c r="C167" s="41" t="n">
        <v>10</v>
      </c>
    </row>
    <row r="168" customFormat="false" ht="15" hidden="false" customHeight="true" outlineLevel="0" collapsed="false">
      <c r="A168" s="7" t="s">
        <v>602</v>
      </c>
      <c r="B168" s="30" t="n">
        <v>30</v>
      </c>
      <c r="C168" s="30" t="n">
        <v>20</v>
      </c>
    </row>
    <row r="169" customFormat="false" ht="15" hidden="false" customHeight="true" outlineLevel="0" collapsed="false">
      <c r="A169" s="7" t="s">
        <v>603</v>
      </c>
      <c r="B169" s="38" t="n">
        <f aca="false">B167/(B167+B168/60)</f>
        <v>0.923076923076923</v>
      </c>
      <c r="C169" s="38" t="n">
        <f aca="false">C167/(C167+C168/60)</f>
        <v>0.967741935483871</v>
      </c>
    </row>
    <row r="170" customFormat="false" ht="23.25" hidden="false" customHeight="true" outlineLevel="0" collapsed="false">
      <c r="A170" s="5" t="s">
        <v>606</v>
      </c>
      <c r="D170" s="7" t="s">
        <v>607</v>
      </c>
    </row>
    <row r="171" customFormat="false" ht="15" hidden="false" customHeight="true" outlineLevel="0" collapsed="false">
      <c r="A171" s="7" t="s">
        <v>601</v>
      </c>
      <c r="B171" s="41" t="n">
        <v>80</v>
      </c>
      <c r="C171" s="41" t="n">
        <v>120</v>
      </c>
    </row>
    <row r="172" customFormat="false" ht="15" hidden="false" customHeight="true" outlineLevel="0" collapsed="false">
      <c r="A172" s="7" t="s">
        <v>602</v>
      </c>
      <c r="B172" s="30" t="n">
        <v>90</v>
      </c>
      <c r="C172" s="30" t="n">
        <v>60</v>
      </c>
    </row>
    <row r="173" customFormat="false" ht="15" hidden="false" customHeight="true" outlineLevel="0" collapsed="false">
      <c r="A173" s="7" t="s">
        <v>603</v>
      </c>
      <c r="B173" s="38" t="n">
        <f aca="false">B171/(B171+B172/60)</f>
        <v>0.98159509202454</v>
      </c>
      <c r="C173" s="38" t="n">
        <f aca="false">C171/(C171+C172/60)</f>
        <v>0.991735537190083</v>
      </c>
    </row>
    <row r="174" customFormat="false" ht="15" hidden="false" customHeight="true" outlineLevel="0" collapsed="false">
      <c r="A174" s="5" t="s">
        <v>608</v>
      </c>
      <c r="D174" s="7" t="s">
        <v>609</v>
      </c>
    </row>
    <row r="175" customFormat="false" ht="15" hidden="false" customHeight="true" outlineLevel="0" collapsed="false">
      <c r="A175" s="7" t="s">
        <v>601</v>
      </c>
      <c r="B175" s="41" t="n">
        <v>150</v>
      </c>
      <c r="C175" s="41" t="n">
        <v>300</v>
      </c>
    </row>
    <row r="176" customFormat="false" ht="15" hidden="false" customHeight="true" outlineLevel="0" collapsed="false">
      <c r="A176" s="7" t="s">
        <v>602</v>
      </c>
      <c r="B176" s="30" t="n">
        <v>45</v>
      </c>
      <c r="C176" s="30" t="n">
        <v>30</v>
      </c>
    </row>
    <row r="177" customFormat="false" ht="15" hidden="false" customHeight="true" outlineLevel="0" collapsed="false">
      <c r="A177" s="7" t="s">
        <v>603</v>
      </c>
      <c r="B177" s="38" t="n">
        <f aca="false">B175/(B175+B176/60)</f>
        <v>0.995024875621891</v>
      </c>
      <c r="C177" s="38" t="n">
        <f aca="false">C175/(C175+C176/60)</f>
        <v>0.998336106489185</v>
      </c>
    </row>
    <row r="178" customFormat="false" ht="15" hidden="false" customHeight="true" outlineLevel="0" collapsed="false">
      <c r="A178" s="5" t="s">
        <v>610</v>
      </c>
      <c r="D178" s="7" t="s">
        <v>611</v>
      </c>
    </row>
    <row r="179" customFormat="false" ht="15" hidden="false" customHeight="true" outlineLevel="0" collapsed="false">
      <c r="A179" s="7" t="s">
        <v>601</v>
      </c>
      <c r="B179" s="41" t="s">
        <v>117</v>
      </c>
      <c r="C179" s="41" t="n">
        <v>250</v>
      </c>
    </row>
    <row r="180" customFormat="false" ht="15" hidden="false" customHeight="true" outlineLevel="0" collapsed="false">
      <c r="A180" s="7" t="s">
        <v>602</v>
      </c>
      <c r="B180" s="30" t="s">
        <v>117</v>
      </c>
      <c r="C180" s="30" t="n">
        <v>40</v>
      </c>
    </row>
    <row r="181" customFormat="false" ht="15" hidden="false" customHeight="true" outlineLevel="0" collapsed="false">
      <c r="A181" s="7" t="s">
        <v>603</v>
      </c>
      <c r="B181" s="38" t="s">
        <v>117</v>
      </c>
      <c r="C181" s="38" t="n">
        <f aca="false">C179/(C179+C180/60)</f>
        <v>0.997340425531915</v>
      </c>
    </row>
    <row r="182" customFormat="false" ht="34.5" hidden="false" customHeight="true" outlineLevel="0" collapsed="false">
      <c r="A182" s="5" t="s">
        <v>612</v>
      </c>
      <c r="B182" s="7" t="s">
        <v>613</v>
      </c>
      <c r="C182" s="7" t="s">
        <v>614</v>
      </c>
    </row>
    <row r="183" customFormat="false" ht="45.75" hidden="false" customHeight="true" outlineLevel="0" collapsed="false">
      <c r="A183" s="5" t="s">
        <v>615</v>
      </c>
      <c r="B183" s="7" t="s">
        <v>616</v>
      </c>
      <c r="C183" s="7" t="s">
        <v>617</v>
      </c>
    </row>
    <row r="184" customFormat="false" ht="34.5" hidden="false" customHeight="true" outlineLevel="0" collapsed="false">
      <c r="A184" s="5" t="s">
        <v>618</v>
      </c>
      <c r="B184" s="7" t="s">
        <v>619</v>
      </c>
      <c r="C184" s="7" t="s">
        <v>620</v>
      </c>
    </row>
    <row r="185" customFormat="false" ht="34.5" hidden="false" customHeight="true" outlineLevel="0" collapsed="false">
      <c r="A185" s="5" t="s">
        <v>621</v>
      </c>
      <c r="B185" s="7" t="s">
        <v>622</v>
      </c>
      <c r="C185" s="7" t="s">
        <v>623</v>
      </c>
    </row>
    <row r="187" customFormat="false" ht="15" hidden="false" customHeight="false" outlineLevel="0" collapsed="false">
      <c r="A187" s="12" t="s">
        <v>624</v>
      </c>
    </row>
    <row r="188" customFormat="false" ht="15" hidden="false" customHeight="false" outlineLevel="0" collapsed="false">
      <c r="A188" s="5" t="s">
        <v>79</v>
      </c>
      <c r="B188" s="5" t="s">
        <v>341</v>
      </c>
      <c r="C188" s="5" t="s">
        <v>342</v>
      </c>
      <c r="D188" s="5" t="s">
        <v>343</v>
      </c>
    </row>
    <row r="189" customFormat="false" ht="15" hidden="false" customHeight="false" outlineLevel="0" collapsed="false">
      <c r="A189" s="7" t="s">
        <v>625</v>
      </c>
      <c r="B189" s="50" t="n">
        <v>2.15</v>
      </c>
      <c r="C189" s="50" t="n">
        <v>2.15</v>
      </c>
      <c r="D189" s="1" t="s">
        <v>626</v>
      </c>
    </row>
    <row r="190" customFormat="false" ht="15" hidden="false" customHeight="false" outlineLevel="0" collapsed="false">
      <c r="A190" s="7" t="s">
        <v>627</v>
      </c>
      <c r="B190" s="50" t="n">
        <v>1.7</v>
      </c>
      <c r="C190" s="50" t="n">
        <v>1.7</v>
      </c>
      <c r="D190" s="1" t="s">
        <v>628</v>
      </c>
    </row>
    <row r="191" customFormat="false" ht="15" hidden="false" customHeight="false" outlineLevel="0" collapsed="false">
      <c r="A191" s="7" t="s">
        <v>629</v>
      </c>
      <c r="B191" s="50" t="n">
        <v>1.5</v>
      </c>
      <c r="C191" s="50" t="n">
        <v>1.5</v>
      </c>
      <c r="D191" s="1" t="s">
        <v>630</v>
      </c>
    </row>
    <row r="192" customFormat="false" ht="15" hidden="false" customHeight="false" outlineLevel="0" collapsed="false">
      <c r="A192" s="7" t="s">
        <v>631</v>
      </c>
      <c r="B192" s="40" t="n">
        <f aca="false">B20*B189+B25*B190+B30*B191</f>
        <v>10.0238355479156</v>
      </c>
      <c r="C192" s="40" t="n">
        <f aca="false">C20*C189+C25*C190+C30*C191</f>
        <v>13.140247760498</v>
      </c>
      <c r="D192" s="1" t="s">
        <v>442</v>
      </c>
    </row>
    <row r="193" customFormat="false" ht="15" hidden="false" customHeight="false" outlineLevel="0" collapsed="false">
      <c r="A193" s="7" t="s">
        <v>632</v>
      </c>
      <c r="B193" s="50" t="n">
        <v>1.5</v>
      </c>
      <c r="C193" s="50" t="n">
        <v>1</v>
      </c>
      <c r="D193" s="1" t="s">
        <v>633</v>
      </c>
    </row>
    <row r="194" customFormat="false" ht="15" hidden="false" customHeight="false" outlineLevel="0" collapsed="false">
      <c r="A194" s="7" t="s">
        <v>634</v>
      </c>
      <c r="B194" s="50" t="n">
        <v>22</v>
      </c>
      <c r="C194" s="50" t="n">
        <v>22</v>
      </c>
      <c r="D194" s="1" t="s">
        <v>635</v>
      </c>
    </row>
    <row r="195" customFormat="false" ht="15" hidden="false" customHeight="false" outlineLevel="0" collapsed="false">
      <c r="A195" s="7" t="s">
        <v>636</v>
      </c>
      <c r="B195" s="51" t="n">
        <f aca="false">(B192+B193)/B194</f>
        <v>0.523810706723437</v>
      </c>
      <c r="C195" s="51" t="n">
        <f aca="false">(C192+C193)/C194</f>
        <v>0.642738534568089</v>
      </c>
      <c r="D195" s="1" t="s">
        <v>637</v>
      </c>
    </row>
    <row r="196" customFormat="false" ht="15" hidden="false" customHeight="false" outlineLevel="0" collapsed="false">
      <c r="A196" s="7" t="s">
        <v>638</v>
      </c>
      <c r="B196" s="40" t="n">
        <f aca="false">B20*1+B25*1.2+B30*1+1.5</f>
        <v>7.30466208594416</v>
      </c>
      <c r="C196" s="40" t="n">
        <f aca="false">C20*1+C25*1.2+C30*1+1.5</f>
        <v>9.33449472963162</v>
      </c>
      <c r="D196" s="1" t="s">
        <v>639</v>
      </c>
    </row>
    <row r="197" customFormat="false" ht="15" hidden="false" customHeight="false" outlineLevel="0" collapsed="false">
      <c r="A197" s="7" t="s">
        <v>640</v>
      </c>
      <c r="B197" s="51" t="n">
        <f aca="false">B196/22</f>
        <v>0.332030094815644</v>
      </c>
      <c r="C197" s="51" t="n">
        <f aca="false">C196/22</f>
        <v>0.424295214983256</v>
      </c>
      <c r="D197" s="1" t="s">
        <v>641</v>
      </c>
    </row>
    <row r="198" customFormat="false" ht="15" hidden="false" customHeight="false" outlineLevel="0" collapsed="false">
      <c r="A198" s="7" t="s">
        <v>642</v>
      </c>
      <c r="B198" s="40" t="n">
        <f aca="false">B30*B61</f>
        <v>28.7908163265306</v>
      </c>
      <c r="C198" s="40" t="n">
        <f aca="false">C30*C61</f>
        <v>29.734693877551</v>
      </c>
      <c r="D198" s="1" t="s">
        <v>643</v>
      </c>
    </row>
    <row r="199" customFormat="false" ht="15" hidden="false" customHeight="false" outlineLevel="0" collapsed="false">
      <c r="A199" s="7" t="s">
        <v>644</v>
      </c>
      <c r="B199" s="40" t="n">
        <f aca="false">MAX(0,B198-24)</f>
        <v>4.79081632653061</v>
      </c>
      <c r="C199" s="40" t="n">
        <f aca="false">MAX(0,C198-24)</f>
        <v>5.73469387755102</v>
      </c>
      <c r="D199" s="1" t="s">
        <v>645</v>
      </c>
    </row>
    <row r="200" customFormat="false" ht="15" hidden="false" customHeight="false" outlineLevel="0" collapsed="false">
      <c r="A200" s="7" t="s">
        <v>646</v>
      </c>
      <c r="B200" s="40" t="n">
        <f aca="false">IF(B199=0,"—",B61/B199)</f>
        <v>5.16613418530352</v>
      </c>
      <c r="C200" s="40" t="n">
        <f aca="false">IF(C199=0,"—",C61/C199)</f>
        <v>4.09786476868327</v>
      </c>
      <c r="D200" s="1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36"/>
  </cols>
  <sheetData>
    <row r="1" customFormat="false" ht="15" hidden="false" customHeight="false" outlineLevel="0" collapsed="false">
      <c r="A1" s="52" t="s">
        <v>648</v>
      </c>
    </row>
    <row r="2" customFormat="false" ht="45" hidden="false" customHeight="true" outlineLevel="0" collapsed="false">
      <c r="A2" s="53" t="s">
        <v>649</v>
      </c>
      <c r="B2" s="53"/>
      <c r="C2" s="53"/>
      <c r="D2" s="53"/>
      <c r="E2" s="53"/>
      <c r="F2" s="53"/>
      <c r="G2" s="53"/>
      <c r="H2" s="53"/>
      <c r="I2" s="53"/>
      <c r="J2" s="53"/>
    </row>
    <row r="4" customFormat="false" ht="15" hidden="false" customHeight="false" outlineLevel="0" collapsed="false">
      <c r="A4" s="54" t="s">
        <v>650</v>
      </c>
    </row>
    <row r="5" customFormat="false" ht="31.5" hidden="false" customHeight="true" outlineLevel="0" collapsed="false">
      <c r="A5" s="55" t="s">
        <v>79</v>
      </c>
      <c r="B5" s="55" t="s">
        <v>651</v>
      </c>
      <c r="C5" s="55" t="s">
        <v>652</v>
      </c>
      <c r="D5" s="55" t="s">
        <v>653</v>
      </c>
      <c r="E5" s="55" t="s">
        <v>654</v>
      </c>
      <c r="F5" s="55" t="s">
        <v>655</v>
      </c>
    </row>
    <row r="6" customFormat="false" ht="15" hidden="false" customHeight="false" outlineLevel="0" collapsed="false">
      <c r="A6" s="0" t="s">
        <v>656</v>
      </c>
      <c r="B6" s="56" t="n">
        <v>26400</v>
      </c>
      <c r="C6" s="56" t="n">
        <v>30000</v>
      </c>
      <c r="D6" s="56" t="n">
        <v>30000</v>
      </c>
      <c r="E6" s="56" t="n">
        <v>30000</v>
      </c>
      <c r="F6" s="0" t="s">
        <v>657</v>
      </c>
    </row>
    <row r="7" customFormat="false" ht="15" hidden="false" customHeight="false" outlineLevel="0" collapsed="false">
      <c r="A7" s="0" t="s">
        <v>658</v>
      </c>
      <c r="B7" s="56" t="n">
        <v>5900</v>
      </c>
      <c r="C7" s="56" t="n">
        <v>10000</v>
      </c>
      <c r="D7" s="56" t="n">
        <v>10000</v>
      </c>
      <c r="E7" s="56" t="n">
        <v>10000</v>
      </c>
      <c r="F7" s="0" t="s">
        <v>657</v>
      </c>
    </row>
    <row r="8" customFormat="false" ht="15" hidden="false" customHeight="false" outlineLevel="0" collapsed="false">
      <c r="A8" s="0" t="s">
        <v>659</v>
      </c>
      <c r="B8" s="56" t="n">
        <v>11400</v>
      </c>
      <c r="C8" s="56" t="n">
        <v>12400</v>
      </c>
      <c r="D8" s="56" t="n">
        <v>12400</v>
      </c>
      <c r="E8" s="56" t="n">
        <v>12400</v>
      </c>
      <c r="F8" s="0" t="s">
        <v>657</v>
      </c>
    </row>
    <row r="9" customFormat="false" ht="15" hidden="false" customHeight="false" outlineLevel="0" collapsed="false">
      <c r="A9" s="0" t="s">
        <v>660</v>
      </c>
      <c r="B9" s="56" t="n">
        <v>90</v>
      </c>
      <c r="C9" s="56" t="n">
        <v>90</v>
      </c>
      <c r="D9" s="56" t="n">
        <v>35</v>
      </c>
      <c r="E9" s="56" t="n">
        <v>35</v>
      </c>
      <c r="F9" s="0" t="s">
        <v>661</v>
      </c>
    </row>
    <row r="10" customFormat="false" ht="15" hidden="false" customHeight="false" outlineLevel="0" collapsed="false">
      <c r="A10" s="0" t="s">
        <v>546</v>
      </c>
      <c r="B10" s="56" t="n">
        <v>4.356</v>
      </c>
      <c r="C10" s="56" t="n">
        <v>4.356</v>
      </c>
      <c r="D10" s="56" t="n">
        <v>8.056</v>
      </c>
      <c r="E10" s="56" t="n">
        <v>8.056</v>
      </c>
      <c r="F10" s="0" t="s">
        <v>34</v>
      </c>
    </row>
    <row r="11" customFormat="false" ht="15" hidden="false" customHeight="false" outlineLevel="0" collapsed="false">
      <c r="A11" s="0" t="s">
        <v>548</v>
      </c>
      <c r="B11" s="56" t="n">
        <v>25</v>
      </c>
      <c r="C11" s="56" t="n">
        <v>25</v>
      </c>
      <c r="D11" s="56" t="n">
        <v>20</v>
      </c>
      <c r="E11" s="56" t="n">
        <v>20</v>
      </c>
      <c r="F11" s="0" t="s">
        <v>34</v>
      </c>
    </row>
    <row r="12" customFormat="false" ht="15" hidden="false" customHeight="false" outlineLevel="0" collapsed="false">
      <c r="A12" s="0" t="s">
        <v>662</v>
      </c>
      <c r="B12" s="57" t="n">
        <v>0.835</v>
      </c>
      <c r="C12" s="57" t="n">
        <v>0.835</v>
      </c>
      <c r="D12" s="57" t="n">
        <v>0.913</v>
      </c>
      <c r="E12" s="57" t="n">
        <v>0.913</v>
      </c>
      <c r="F12" s="0" t="s">
        <v>34</v>
      </c>
    </row>
    <row r="13" customFormat="false" ht="15" hidden="false" customHeight="false" outlineLevel="0" collapsed="false">
      <c r="A13" s="0" t="s">
        <v>663</v>
      </c>
      <c r="B13" s="57" t="n">
        <v>0.03</v>
      </c>
      <c r="C13" s="57" t="n">
        <v>0.03</v>
      </c>
      <c r="D13" s="57" t="n">
        <v>0.01</v>
      </c>
      <c r="E13" s="57" t="n">
        <v>0.01</v>
      </c>
      <c r="F13" s="0" t="s">
        <v>34</v>
      </c>
    </row>
    <row r="14" customFormat="false" ht="15" hidden="false" customHeight="false" outlineLevel="0" collapsed="false">
      <c r="A14" s="0" t="s">
        <v>664</v>
      </c>
      <c r="B14" s="56" t="n">
        <v>75</v>
      </c>
      <c r="C14" s="56" t="n">
        <v>75</v>
      </c>
      <c r="D14" s="56" t="n">
        <v>0</v>
      </c>
      <c r="E14" s="56" t="n">
        <v>0</v>
      </c>
      <c r="F14" s="0" t="s">
        <v>34</v>
      </c>
    </row>
    <row r="15" customFormat="false" ht="15" hidden="false" customHeight="false" outlineLevel="0" collapsed="false">
      <c r="A15" s="0" t="s">
        <v>665</v>
      </c>
      <c r="B15" s="58" t="s">
        <v>666</v>
      </c>
      <c r="C15" s="58" t="s">
        <v>667</v>
      </c>
      <c r="D15" s="58" t="s">
        <v>668</v>
      </c>
      <c r="E15" s="58" t="s">
        <v>667</v>
      </c>
      <c r="F15" s="0" t="s">
        <v>669</v>
      </c>
    </row>
    <row r="17" customFormat="false" ht="15" hidden="false" customHeight="false" outlineLevel="0" collapsed="false">
      <c r="A17" s="54" t="s">
        <v>670</v>
      </c>
    </row>
    <row r="18" customFormat="false" ht="31.5" hidden="false" customHeight="true" outlineLevel="0" collapsed="false">
      <c r="A18" s="55" t="s">
        <v>2</v>
      </c>
      <c r="B18" s="55" t="s">
        <v>651</v>
      </c>
      <c r="C18" s="55" t="s">
        <v>652</v>
      </c>
      <c r="D18" s="55" t="s">
        <v>653</v>
      </c>
      <c r="E18" s="55" t="s">
        <v>654</v>
      </c>
      <c r="F18" s="55" t="s">
        <v>80</v>
      </c>
    </row>
    <row r="19" customFormat="false" ht="15" hidden="false" customHeight="false" outlineLevel="0" collapsed="false">
      <c r="A19" s="0" t="s">
        <v>671</v>
      </c>
      <c r="B19" s="59" t="n">
        <v>41186.2023</v>
      </c>
      <c r="C19" s="59" t="n">
        <v>38657.0517</v>
      </c>
      <c r="D19" s="59" t="n">
        <v>50874.1332</v>
      </c>
      <c r="E19" s="59" t="n">
        <v>48960.4132</v>
      </c>
      <c r="F19" s="0" t="s">
        <v>202</v>
      </c>
    </row>
    <row r="20" customFormat="false" ht="15" hidden="false" customHeight="false" outlineLevel="0" collapsed="false">
      <c r="A20" s="0" t="s">
        <v>672</v>
      </c>
      <c r="B20" s="59" t="n">
        <v>201.6581</v>
      </c>
      <c r="C20" s="59" t="n">
        <v>311.7304</v>
      </c>
      <c r="D20" s="59" t="n">
        <v>38.733</v>
      </c>
      <c r="E20" s="59" t="n">
        <v>210.123</v>
      </c>
      <c r="F20" s="0" t="s">
        <v>202</v>
      </c>
    </row>
    <row r="21" customFormat="false" ht="15" hidden="false" customHeight="false" outlineLevel="0" collapsed="false">
      <c r="A21" s="0" t="s">
        <v>673</v>
      </c>
      <c r="B21" s="59" t="n">
        <v>24704.7273</v>
      </c>
      <c r="C21" s="59" t="n">
        <v>22134.3749</v>
      </c>
      <c r="D21" s="59" t="n">
        <v>29077.125</v>
      </c>
      <c r="E21" s="59" t="n">
        <v>27951.1891</v>
      </c>
      <c r="F21" s="0" t="s">
        <v>202</v>
      </c>
    </row>
    <row r="22" customFormat="false" ht="15" hidden="false" customHeight="false" outlineLevel="0" collapsed="false">
      <c r="A22" s="0" t="s">
        <v>674</v>
      </c>
      <c r="B22" s="59" t="n">
        <v>5506.2776</v>
      </c>
      <c r="C22" s="59" t="n">
        <v>7347.6085</v>
      </c>
      <c r="D22" s="59" t="n">
        <v>9564.3953</v>
      </c>
      <c r="E22" s="59" t="n">
        <v>9311.8122</v>
      </c>
      <c r="F22" s="0" t="s">
        <v>202</v>
      </c>
    </row>
    <row r="23" customFormat="false" ht="15" hidden="false" customHeight="false" outlineLevel="0" collapsed="false">
      <c r="A23" s="0" t="s">
        <v>675</v>
      </c>
      <c r="B23" s="59" t="n">
        <v>10975.1975</v>
      </c>
      <c r="C23" s="59" t="n">
        <v>9175.0683</v>
      </c>
      <c r="D23" s="59" t="n">
        <v>12232.6129</v>
      </c>
      <c r="E23" s="59" t="n">
        <v>11697.4119</v>
      </c>
      <c r="F23" s="0" t="s">
        <v>202</v>
      </c>
    </row>
    <row r="24" customFormat="false" ht="15" hidden="false" customHeight="false" outlineLevel="0" collapsed="false">
      <c r="A24" s="0" t="s">
        <v>421</v>
      </c>
      <c r="B24" s="57" t="n">
        <v>0.5177</v>
      </c>
      <c r="C24" s="57" t="n">
        <v>0.5118</v>
      </c>
      <c r="D24" s="57" t="n">
        <v>0.5867</v>
      </c>
      <c r="E24" s="57" t="n">
        <v>0.6469</v>
      </c>
      <c r="F24" s="0" t="s">
        <v>94</v>
      </c>
    </row>
    <row r="25" customFormat="false" ht="15" hidden="false" customHeight="false" outlineLevel="0" collapsed="false">
      <c r="A25" s="0" t="s">
        <v>425</v>
      </c>
      <c r="B25" s="57" t="n">
        <v>0.9519</v>
      </c>
      <c r="C25" s="57" t="n">
        <v>0.9181</v>
      </c>
      <c r="D25" s="57" t="n">
        <v>0.7624</v>
      </c>
      <c r="E25" s="57" t="n">
        <v>0.84</v>
      </c>
      <c r="F25" s="0" t="s">
        <v>94</v>
      </c>
    </row>
    <row r="26" customFormat="false" ht="15" hidden="false" customHeight="false" outlineLevel="0" collapsed="false">
      <c r="A26" s="0" t="s">
        <v>445</v>
      </c>
      <c r="B26" s="57" t="n">
        <v>0.9811</v>
      </c>
      <c r="C26" s="57" t="n">
        <v>0.9865</v>
      </c>
      <c r="D26" s="57" t="n">
        <v>0.9826</v>
      </c>
      <c r="E26" s="57" t="n">
        <v>0.9821</v>
      </c>
      <c r="F26" s="0" t="s">
        <v>94</v>
      </c>
    </row>
    <row r="27" customFormat="false" ht="15" hidden="false" customHeight="false" outlineLevel="0" collapsed="false">
      <c r="A27" s="0" t="s">
        <v>432</v>
      </c>
      <c r="B27" s="57" t="n">
        <v>0.1714</v>
      </c>
      <c r="C27" s="57" t="n">
        <v>0.1446</v>
      </c>
      <c r="D27" s="57" t="n">
        <v>0.143</v>
      </c>
      <c r="E27" s="57" t="n">
        <v>0.156</v>
      </c>
      <c r="F27" s="0" t="s">
        <v>94</v>
      </c>
    </row>
    <row r="28" customFormat="false" ht="15" hidden="false" customHeight="false" outlineLevel="0" collapsed="false">
      <c r="A28" s="0" t="s">
        <v>676</v>
      </c>
      <c r="B28" s="60" t="n">
        <v>116.6644</v>
      </c>
      <c r="C28" s="60" t="n">
        <v>116.7263</v>
      </c>
      <c r="D28" s="60" t="n">
        <v>81.0199</v>
      </c>
      <c r="E28" s="60" t="n">
        <v>82.0115</v>
      </c>
      <c r="F28" s="0" t="s">
        <v>274</v>
      </c>
    </row>
    <row r="29" customFormat="false" ht="15" hidden="false" customHeight="false" outlineLevel="0" collapsed="false">
      <c r="A29" s="0" t="s">
        <v>677</v>
      </c>
      <c r="B29" s="60" t="n">
        <v>2.7</v>
      </c>
      <c r="C29" s="60" t="n">
        <v>121.3</v>
      </c>
      <c r="D29" s="60" t="n">
        <v>2</v>
      </c>
      <c r="E29" s="60" t="n">
        <v>21.4</v>
      </c>
      <c r="F29" s="0" t="s">
        <v>678</v>
      </c>
    </row>
    <row r="30" customFormat="false" ht="15" hidden="false" customHeight="false" outlineLevel="0" collapsed="false">
      <c r="A30" s="0" t="s">
        <v>679</v>
      </c>
      <c r="B30" s="61" t="n">
        <f aca="false">SUM(B6:B8)</f>
        <v>43700</v>
      </c>
      <c r="C30" s="61" t="n">
        <f aca="false">SUM(C6:C8)</f>
        <v>52400</v>
      </c>
      <c r="D30" s="61" t="n">
        <f aca="false">SUM(D6:D8)</f>
        <v>52400</v>
      </c>
      <c r="E30" s="61" t="n">
        <f aca="false">SUM(E6:E8)</f>
        <v>52400</v>
      </c>
      <c r="F30" s="0" t="s">
        <v>202</v>
      </c>
    </row>
    <row r="31" customFormat="false" ht="15" hidden="false" customHeight="false" outlineLevel="0" collapsed="false">
      <c r="A31" s="0" t="s">
        <v>680</v>
      </c>
      <c r="B31" s="62" t="n">
        <f aca="false">B19/B30</f>
        <v>0.942476025171625</v>
      </c>
      <c r="C31" s="62" t="n">
        <f aca="false">C19/C30</f>
        <v>0.737729994274809</v>
      </c>
      <c r="D31" s="62" t="n">
        <f aca="false">D19/D30</f>
        <v>0.970880404580153</v>
      </c>
      <c r="E31" s="62" t="n">
        <f aca="false">E19/E30</f>
        <v>0.934359030534351</v>
      </c>
      <c r="F31" s="0" t="s">
        <v>94</v>
      </c>
    </row>
    <row r="32" customFormat="false" ht="15" hidden="false" customHeight="false" outlineLevel="0" collapsed="false">
      <c r="A32" s="0" t="s">
        <v>681</v>
      </c>
      <c r="B32" s="62" t="n">
        <f aca="false">B19/$B$19-1</f>
        <v>0</v>
      </c>
      <c r="C32" s="62" t="n">
        <f aca="false">C19/$B$19-1</f>
        <v>-0.0614077156611255</v>
      </c>
      <c r="D32" s="62" t="n">
        <f aca="false">D19/$B$19-1</f>
        <v>0.235222728947748</v>
      </c>
      <c r="E32" s="62" t="n">
        <f aca="false">E19/$B$19-1</f>
        <v>0.188757653433854</v>
      </c>
      <c r="F32" s="0" t="s">
        <v>94</v>
      </c>
    </row>
    <row r="34" customFormat="false" ht="15" hidden="false" customHeight="false" outlineLevel="0" collapsed="false">
      <c r="A34" s="54" t="s">
        <v>4</v>
      </c>
    </row>
    <row r="35" customFormat="false" ht="48" hidden="false" customHeight="true" outlineLevel="0" collapsed="false">
      <c r="A35" s="53" t="s">
        <v>682</v>
      </c>
      <c r="B35" s="53"/>
      <c r="C35" s="53"/>
      <c r="D35" s="53"/>
      <c r="E35" s="53"/>
      <c r="F35" s="53"/>
    </row>
  </sheetData>
  <mergeCells count="2">
    <mergeCell ref="A2:J2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4" min="2" style="1" width="24"/>
    <col collapsed="false" customWidth="true" hidden="false" outlineLevel="0" max="5" min="5" style="1" width="100"/>
  </cols>
  <sheetData>
    <row r="1" customFormat="false" ht="17.25" hidden="false" customHeight="true" outlineLevel="0" collapsed="false">
      <c r="A1" s="2" t="s">
        <v>683</v>
      </c>
    </row>
    <row r="2" customFormat="false" ht="15" hidden="false" customHeight="true" outlineLevel="0" collapsed="false">
      <c r="A2" s="3" t="s">
        <v>684</v>
      </c>
    </row>
    <row r="4" customFormat="false" ht="15" hidden="false" customHeight="true" outlineLevel="0" collapsed="false">
      <c r="A4" s="4" t="s">
        <v>685</v>
      </c>
      <c r="B4" s="4" t="s">
        <v>686</v>
      </c>
      <c r="C4" s="4" t="s">
        <v>687</v>
      </c>
      <c r="D4" s="4" t="s">
        <v>688</v>
      </c>
      <c r="E4" s="4" t="s">
        <v>343</v>
      </c>
    </row>
    <row r="5" customFormat="false" ht="15" hidden="false" customHeight="true" outlineLevel="0" collapsed="false">
      <c r="A5" s="7" t="s">
        <v>689</v>
      </c>
      <c r="B5" s="30" t="n">
        <v>70000</v>
      </c>
      <c r="C5" s="30" t="n">
        <v>60000</v>
      </c>
      <c r="D5" s="30" t="n">
        <v>90000</v>
      </c>
      <c r="E5" s="7" t="s">
        <v>690</v>
      </c>
    </row>
    <row r="6" customFormat="false" ht="23.25" hidden="false" customHeight="true" outlineLevel="0" collapsed="false">
      <c r="A6" s="7" t="s">
        <v>691</v>
      </c>
      <c r="B6" s="47" t="n">
        <f aca="false">VSM_Actual!$C$7/VSM_Actual!$B$7-1</f>
        <v>0.19908466819222</v>
      </c>
      <c r="C6" s="42" t="n">
        <v>0</v>
      </c>
      <c r="D6" s="42" t="n">
        <v>0.11</v>
      </c>
      <c r="E6" s="7" t="s">
        <v>692</v>
      </c>
    </row>
    <row r="7" customFormat="false" ht="15" hidden="false" customHeight="true" outlineLevel="0" collapsed="false">
      <c r="A7" s="7" t="s">
        <v>693</v>
      </c>
      <c r="B7" s="33" t="n">
        <f aca="false">VSM_Actual!$C$7</f>
        <v>52400</v>
      </c>
      <c r="C7" s="30" t="n">
        <v>7470</v>
      </c>
      <c r="D7" s="30" t="n">
        <v>91250</v>
      </c>
      <c r="E7" s="7" t="s">
        <v>694</v>
      </c>
    </row>
    <row r="8" customFormat="false" ht="15" hidden="false" customHeight="true" outlineLevel="0" collapsed="false">
      <c r="A8" s="7" t="s">
        <v>695</v>
      </c>
      <c r="B8" s="33" t="n">
        <f aca="false">VSM_Actual!$B$7</f>
        <v>43700</v>
      </c>
      <c r="C8" s="32" t="n">
        <f aca="false">C7/(1+C6)</f>
        <v>7470</v>
      </c>
      <c r="D8" s="32" t="n">
        <f aca="false">D7/(1+D6)</f>
        <v>82207.2072072072</v>
      </c>
      <c r="E8" s="7" t="s">
        <v>696</v>
      </c>
    </row>
    <row r="9" customFormat="false" ht="15" hidden="false" customHeight="true" outlineLevel="0" collapsed="false">
      <c r="A9" s="7" t="s">
        <v>697</v>
      </c>
      <c r="B9" s="33" t="n">
        <f aca="false">VSM_Actual!$C$33/1.03</f>
        <v>66114.5631067961</v>
      </c>
      <c r="C9" s="30" t="n">
        <v>60000</v>
      </c>
      <c r="D9" s="30" t="n">
        <v>88400</v>
      </c>
      <c r="E9" s="7" t="s">
        <v>698</v>
      </c>
    </row>
    <row r="10" customFormat="false" ht="15" hidden="false" customHeight="true" outlineLevel="0" collapsed="false">
      <c r="A10" s="7" t="s">
        <v>699</v>
      </c>
      <c r="B10" s="33" t="n">
        <f aca="false">VSM_Actual!$B$33/1.03</f>
        <v>49446.0194174757</v>
      </c>
      <c r="C10" s="32" t="n">
        <f aca="false">C9/(1+C6)</f>
        <v>60000</v>
      </c>
      <c r="D10" s="32" t="n">
        <f aca="false">D9/(1+D6)</f>
        <v>79639.6396396396</v>
      </c>
      <c r="E10" s="7" t="s">
        <v>700</v>
      </c>
    </row>
    <row r="11" customFormat="false" ht="23.25" hidden="false" customHeight="true" outlineLevel="0" collapsed="false">
      <c r="A11" s="7" t="s">
        <v>701</v>
      </c>
      <c r="B11" s="7" t="s">
        <v>702</v>
      </c>
      <c r="C11" s="7" t="s">
        <v>703</v>
      </c>
      <c r="D11" s="7" t="s">
        <v>704</v>
      </c>
      <c r="E11" s="7" t="s">
        <v>705</v>
      </c>
    </row>
    <row r="12" customFormat="false" ht="23.25" hidden="false" customHeight="true" outlineLevel="0" collapsed="false">
      <c r="A12" s="7" t="s">
        <v>706</v>
      </c>
      <c r="B12" s="47" t="n">
        <f aca="false">VSM_Actual!$B$49</f>
        <v>0.55443005952381</v>
      </c>
      <c r="C12" s="42" t="n">
        <v>0.58</v>
      </c>
      <c r="D12" s="42" t="n">
        <v>0.68</v>
      </c>
      <c r="E12" s="7" t="s">
        <v>707</v>
      </c>
    </row>
    <row r="13" customFormat="false" ht="15" hidden="false" customHeight="true" outlineLevel="0" collapsed="false">
      <c r="A13" s="7" t="s">
        <v>708</v>
      </c>
      <c r="B13" s="47" t="n">
        <f aca="false">VSM_Actual!$C$49</f>
        <v>0.780125892857143</v>
      </c>
      <c r="C13" s="42" t="n">
        <v>0.75</v>
      </c>
      <c r="D13" s="42" t="n">
        <v>0.8</v>
      </c>
      <c r="E13" s="7" t="s">
        <v>709</v>
      </c>
    </row>
    <row r="14" customFormat="false" ht="23.25" hidden="false" customHeight="true" outlineLevel="0" collapsed="false">
      <c r="A14" s="7" t="s">
        <v>710</v>
      </c>
      <c r="B14" s="7" t="s">
        <v>711</v>
      </c>
      <c r="C14" s="7" t="s">
        <v>712</v>
      </c>
      <c r="D14" s="7" t="s">
        <v>713</v>
      </c>
      <c r="E14" s="7" t="s">
        <v>714</v>
      </c>
    </row>
    <row r="15" customFormat="false" ht="23.25" hidden="false" customHeight="true" outlineLevel="0" collapsed="false">
      <c r="A15" s="7" t="s">
        <v>715</v>
      </c>
      <c r="B15" s="7" t="s">
        <v>716</v>
      </c>
      <c r="C15" s="7" t="s">
        <v>717</v>
      </c>
      <c r="D15" s="7" t="s">
        <v>718</v>
      </c>
      <c r="E15" s="7" t="s">
        <v>719</v>
      </c>
    </row>
    <row r="16" customFormat="false" ht="15" hidden="false" customHeight="true" outlineLevel="0" collapsed="false">
      <c r="A16" s="7" t="s">
        <v>720</v>
      </c>
      <c r="B16" s="33" t="n">
        <f aca="false">Supuestos!$B$74</f>
        <v>6</v>
      </c>
      <c r="C16" s="30" t="n">
        <v>4</v>
      </c>
      <c r="D16" s="30" t="n">
        <v>4</v>
      </c>
      <c r="E16" s="7" t="s">
        <v>721</v>
      </c>
    </row>
    <row r="17" customFormat="false" ht="23.25" hidden="false" customHeight="true" outlineLevel="0" collapsed="false">
      <c r="A17" s="7" t="s">
        <v>722</v>
      </c>
      <c r="B17" s="7" t="s">
        <v>723</v>
      </c>
      <c r="C17" s="7" t="s">
        <v>724</v>
      </c>
      <c r="D17" s="7" t="s">
        <v>725</v>
      </c>
      <c r="E17" s="7" t="s">
        <v>726</v>
      </c>
    </row>
    <row r="19" customFormat="false" ht="15" hidden="false" customHeight="true" outlineLevel="0" collapsed="false">
      <c r="A19" s="4" t="s">
        <v>727</v>
      </c>
      <c r="B19" s="4" t="s">
        <v>728</v>
      </c>
      <c r="C19" s="4" t="s">
        <v>729</v>
      </c>
      <c r="D19" s="4" t="s">
        <v>730</v>
      </c>
      <c r="E19" s="4" t="s">
        <v>343</v>
      </c>
    </row>
    <row r="20" customFormat="false" ht="23.25" hidden="false" customHeight="true" outlineLevel="0" collapsed="false">
      <c r="A20" s="7" t="s">
        <v>731</v>
      </c>
      <c r="B20" s="30" t="n">
        <v>5700</v>
      </c>
      <c r="C20" s="30" t="n">
        <v>6500</v>
      </c>
      <c r="D20" s="30" t="n">
        <v>11500</v>
      </c>
      <c r="E20" s="7" t="s">
        <v>732</v>
      </c>
    </row>
    <row r="21" customFormat="false" ht="15" hidden="false" customHeight="true" outlineLevel="0" collapsed="false">
      <c r="A21" s="7" t="s">
        <v>733</v>
      </c>
      <c r="B21" s="42" t="n">
        <v>0.25</v>
      </c>
      <c r="C21" s="42" t="n">
        <v>0.25</v>
      </c>
      <c r="D21" s="42" t="n">
        <v>0.3</v>
      </c>
      <c r="E21" s="7" t="s">
        <v>734</v>
      </c>
    </row>
    <row r="22" customFormat="false" ht="15" hidden="false" customHeight="true" outlineLevel="0" collapsed="false">
      <c r="A22" s="7" t="s">
        <v>735</v>
      </c>
      <c r="B22" s="32" t="n">
        <f aca="false">B20*(1-B21)</f>
        <v>4275</v>
      </c>
      <c r="C22" s="32" t="n">
        <f aca="false">C20*(1-C21)</f>
        <v>4875</v>
      </c>
      <c r="D22" s="32" t="n">
        <f aca="false">D20*(1-D21)</f>
        <v>8050</v>
      </c>
      <c r="E22" s="7" t="s">
        <v>736</v>
      </c>
    </row>
    <row r="23" customFormat="false" ht="15" hidden="false" customHeight="true" outlineLevel="0" collapsed="false">
      <c r="A23" s="7" t="s">
        <v>737</v>
      </c>
      <c r="B23" s="43" t="n">
        <v>1</v>
      </c>
      <c r="C23" s="43" t="n">
        <v>1</v>
      </c>
      <c r="D23" s="43" t="n">
        <v>0.92</v>
      </c>
      <c r="E23" s="7" t="s">
        <v>738</v>
      </c>
    </row>
    <row r="24" customFormat="false" ht="15" hidden="false" customHeight="true" outlineLevel="0" collapsed="false">
      <c r="A24" s="7" t="s">
        <v>739</v>
      </c>
      <c r="B24" s="32" t="n">
        <f aca="false">B23*Supuestos!$B$69*(1+Supuestos!$B$70)</f>
        <v>2240.7</v>
      </c>
      <c r="C24" s="32" t="n">
        <f aca="false">C23*Supuestos!$B$69*(1+Supuestos!$B$70)</f>
        <v>2240.7</v>
      </c>
      <c r="D24" s="32" t="n">
        <f aca="false">D23*Supuestos!$B$69*(1+Supuestos!$B$70)</f>
        <v>2061.444</v>
      </c>
      <c r="E24" s="7" t="s">
        <v>740</v>
      </c>
    </row>
    <row r="25" customFormat="false" ht="15" hidden="false" customHeight="true" outlineLevel="0" collapsed="false">
      <c r="A25" s="7" t="s">
        <v>741</v>
      </c>
      <c r="B25" s="30" t="n">
        <v>0</v>
      </c>
      <c r="C25" s="30" t="n">
        <v>150</v>
      </c>
      <c r="D25" s="30" t="n">
        <v>600</v>
      </c>
      <c r="E25" s="7" t="s">
        <v>742</v>
      </c>
    </row>
    <row r="26" customFormat="false" ht="15" hidden="false" customHeight="true" outlineLevel="0" collapsed="false">
      <c r="A26" s="7" t="s">
        <v>743</v>
      </c>
      <c r="B26" s="30" t="n">
        <v>450</v>
      </c>
      <c r="C26" s="30" t="n">
        <v>450</v>
      </c>
      <c r="D26" s="30" t="n">
        <v>900</v>
      </c>
      <c r="E26" s="7" t="s">
        <v>744</v>
      </c>
    </row>
    <row r="27" customFormat="false" ht="15" hidden="false" customHeight="true" outlineLevel="0" collapsed="false">
      <c r="A27" s="7" t="s">
        <v>745</v>
      </c>
      <c r="B27" s="30" t="n">
        <v>220</v>
      </c>
      <c r="C27" s="30" t="n">
        <v>240</v>
      </c>
      <c r="D27" s="30" t="n">
        <v>250</v>
      </c>
      <c r="E27" s="7" t="s">
        <v>746</v>
      </c>
    </row>
    <row r="28" customFormat="false" ht="15" hidden="false" customHeight="true" outlineLevel="0" collapsed="false">
      <c r="A28" s="7" t="s">
        <v>747</v>
      </c>
      <c r="B28" s="42" t="n">
        <v>0.1</v>
      </c>
      <c r="C28" s="42" t="n">
        <v>0.1</v>
      </c>
      <c r="D28" s="42" t="n">
        <v>0.1</v>
      </c>
      <c r="E28" s="7" t="s">
        <v>748</v>
      </c>
    </row>
    <row r="29" customFormat="false" ht="15" hidden="false" customHeight="true" outlineLevel="0" collapsed="false">
      <c r="A29" s="7" t="s">
        <v>749</v>
      </c>
      <c r="B29" s="32" t="n">
        <f aca="false">B24+B25+B26+B27+B28*B22</f>
        <v>3338.2</v>
      </c>
      <c r="C29" s="32" t="n">
        <f aca="false">C24+C25+C26+C27+C28*C22</f>
        <v>3568.2</v>
      </c>
      <c r="D29" s="32" t="n">
        <f aca="false">D24+D25+D26+D27+D28*D22</f>
        <v>4616.444</v>
      </c>
      <c r="E29" s="7" t="s">
        <v>750</v>
      </c>
    </row>
    <row r="30" customFormat="false" ht="15" hidden="false" customHeight="true" outlineLevel="0" collapsed="false">
      <c r="A30" s="7" t="s">
        <v>751</v>
      </c>
      <c r="B30" s="32" t="n">
        <f aca="false">B22-B29</f>
        <v>936.8</v>
      </c>
      <c r="C30" s="32" t="n">
        <f aca="false">C22-C29</f>
        <v>1306.8</v>
      </c>
      <c r="D30" s="32" t="n">
        <f aca="false">D22-D29</f>
        <v>3433.556</v>
      </c>
      <c r="E30" s="7" t="s">
        <v>752</v>
      </c>
    </row>
    <row r="31" customFormat="false" ht="15" hidden="false" customHeight="true" outlineLevel="0" collapsed="false">
      <c r="A31" s="7" t="s">
        <v>753</v>
      </c>
      <c r="B31" s="38" t="n">
        <f aca="false">B30/B22</f>
        <v>0.219134502923977</v>
      </c>
      <c r="C31" s="38" t="n">
        <f aca="false">C30/C22</f>
        <v>0.268061538461538</v>
      </c>
      <c r="D31" s="38" t="n">
        <f aca="false">D30/D22</f>
        <v>0.426528695652174</v>
      </c>
      <c r="E31" s="7" t="s">
        <v>754</v>
      </c>
    </row>
    <row r="32" customFormat="false" ht="15" hidden="false" customHeight="true" outlineLevel="0" collapsed="false">
      <c r="A32" s="7" t="s">
        <v>755</v>
      </c>
      <c r="B32" s="30" t="n">
        <v>49500</v>
      </c>
      <c r="C32" s="30" t="n">
        <v>24750</v>
      </c>
      <c r="D32" s="30" t="n">
        <v>14140</v>
      </c>
      <c r="E32" s="7" t="s">
        <v>756</v>
      </c>
    </row>
    <row r="33" customFormat="false" ht="15" hidden="false" customHeight="true" outlineLevel="0" collapsed="false">
      <c r="A33" s="7" t="s">
        <v>757</v>
      </c>
      <c r="B33" s="32" t="n">
        <f aca="false">B32-B32/(1+$D$6)</f>
        <v>4905.40540540541</v>
      </c>
      <c r="C33" s="32" t="n">
        <f aca="false">C32-C32/(1+$D$6)</f>
        <v>2452.7027027027</v>
      </c>
      <c r="D33" s="32" t="n">
        <f aca="false">D32-D32/(1+$D$6)</f>
        <v>1401.26126126126</v>
      </c>
      <c r="E33" s="7" t="s">
        <v>758</v>
      </c>
    </row>
    <row r="34" customFormat="false" ht="15" hidden="false" customHeight="true" outlineLevel="0" collapsed="false">
      <c r="A34" s="34" t="s">
        <v>759</v>
      </c>
      <c r="D34" s="36" t="n">
        <f aca="false">SUMPRODUCT(B30:D30,B33:D33)</f>
        <v>12611884.6868469</v>
      </c>
    </row>
    <row r="35" customFormat="false" ht="15" hidden="false" customHeight="true" outlineLevel="0" collapsed="false">
      <c r="A35" s="34" t="s">
        <v>760</v>
      </c>
      <c r="D35" s="36" t="n">
        <f aca="false">SUMPRODUCT(B29:D29,B32:D32)/SUM(B32:D32)</f>
        <v>3607.08641430026</v>
      </c>
    </row>
    <row r="37" customFormat="false" ht="15" hidden="false" customHeight="true" outlineLevel="0" collapsed="false">
      <c r="A37" s="4" t="s">
        <v>761</v>
      </c>
      <c r="B37" s="4" t="s">
        <v>686</v>
      </c>
      <c r="C37" s="4" t="s">
        <v>687</v>
      </c>
      <c r="D37" s="4" t="s">
        <v>688</v>
      </c>
      <c r="E37" s="4" t="s">
        <v>343</v>
      </c>
    </row>
    <row r="38" customFormat="false" ht="23.25" hidden="false" customHeight="true" outlineLevel="0" collapsed="false">
      <c r="A38" s="7" t="s">
        <v>762</v>
      </c>
      <c r="B38" s="7" t="s">
        <v>117</v>
      </c>
      <c r="C38" s="42" t="n">
        <v>0.015</v>
      </c>
      <c r="D38" s="7" t="s">
        <v>117</v>
      </c>
      <c r="E38" s="7" t="s">
        <v>763</v>
      </c>
    </row>
    <row r="39" customFormat="false" ht="15" hidden="false" customHeight="true" outlineLevel="0" collapsed="false">
      <c r="A39" s="7" t="s">
        <v>764</v>
      </c>
      <c r="B39" s="7" t="s">
        <v>117</v>
      </c>
      <c r="C39" s="32" t="n">
        <f aca="false">60000/7470*Supuestos!$B$69*(1+Supuestos!$B$70)+1000</f>
        <v>18997.5903614458</v>
      </c>
      <c r="D39" s="32" t="n">
        <f aca="false">D35/1.03</f>
        <v>3502.02564495171</v>
      </c>
      <c r="E39" s="7" t="s">
        <v>765</v>
      </c>
    </row>
    <row r="40" customFormat="false" ht="15" hidden="false" customHeight="true" outlineLevel="0" collapsed="false">
      <c r="A40" s="7" t="s">
        <v>766</v>
      </c>
      <c r="B40" s="47" t="n">
        <f aca="false">Supuestos!$B$71</f>
        <v>0.03</v>
      </c>
      <c r="C40" s="42" t="n">
        <v>0.03</v>
      </c>
      <c r="D40" s="42" t="n">
        <v>0.02</v>
      </c>
      <c r="E40" s="7" t="s">
        <v>767</v>
      </c>
    </row>
    <row r="41" customFormat="false" ht="15" hidden="false" customHeight="true" outlineLevel="0" collapsed="false">
      <c r="A41" s="7" t="s">
        <v>230</v>
      </c>
      <c r="B41" s="47" t="n">
        <f aca="false">Supuestos!$B$72</f>
        <v>0.01</v>
      </c>
      <c r="C41" s="42" t="n">
        <v>0.01</v>
      </c>
      <c r="D41" s="42" t="n">
        <v>0.008</v>
      </c>
      <c r="E41" s="7" t="s">
        <v>768</v>
      </c>
    </row>
    <row r="42" customFormat="false" ht="15" hidden="false" customHeight="true" outlineLevel="0" collapsed="false">
      <c r="A42" s="7" t="s">
        <v>769</v>
      </c>
      <c r="B42" s="33" t="n">
        <f aca="false">Supuestos!$B$76</f>
        <v>250</v>
      </c>
      <c r="C42" s="30" t="n">
        <v>350</v>
      </c>
      <c r="D42" s="30" t="n">
        <v>220</v>
      </c>
      <c r="E42" s="7" t="s">
        <v>770</v>
      </c>
    </row>
    <row r="43" customFormat="false" ht="15" hidden="false" customHeight="true" outlineLevel="0" collapsed="false">
      <c r="A43" s="7" t="s">
        <v>771</v>
      </c>
      <c r="B43" s="33" t="n">
        <f aca="false">Supuestos!$B$79</f>
        <v>800000000</v>
      </c>
      <c r="C43" s="30" t="n">
        <v>300000000</v>
      </c>
      <c r="D43" s="30" t="n">
        <v>500000000</v>
      </c>
      <c r="E43" s="7" t="s">
        <v>772</v>
      </c>
    </row>
    <row r="44" customFormat="false" ht="15" hidden="false" customHeight="true" outlineLevel="0" collapsed="false">
      <c r="A44" s="7" t="s">
        <v>773</v>
      </c>
      <c r="B44" s="7" t="s">
        <v>117</v>
      </c>
      <c r="C44" s="7" t="s">
        <v>117</v>
      </c>
      <c r="D44" s="30" t="n">
        <v>2</v>
      </c>
      <c r="E44" s="7" t="s">
        <v>774</v>
      </c>
    </row>
    <row r="45" customFormat="false" ht="15" hidden="false" customHeight="true" outlineLevel="0" collapsed="false">
      <c r="A45" s="7" t="s">
        <v>775</v>
      </c>
      <c r="B45" s="33" t="n">
        <f aca="false">Beneficios_OPEX!$B$49</f>
        <v>928945393.582136</v>
      </c>
      <c r="C45" s="30" t="n">
        <v>150000000</v>
      </c>
      <c r="D45" s="30" t="n">
        <v>200000000</v>
      </c>
      <c r="E45" s="7" t="s">
        <v>776</v>
      </c>
    </row>
    <row r="46" customFormat="false" ht="15" hidden="false" customHeight="true" outlineLevel="0" collapsed="false">
      <c r="A46" s="7" t="s">
        <v>777</v>
      </c>
      <c r="B46" s="33" t="n">
        <f aca="false">Supuestos!$B$83</f>
        <v>150000000</v>
      </c>
      <c r="C46" s="30" t="n">
        <v>100000000</v>
      </c>
      <c r="D46" s="30" t="n">
        <v>100000000</v>
      </c>
      <c r="E46" s="7" t="s">
        <v>778</v>
      </c>
    </row>
    <row r="48" customFormat="false" ht="15" hidden="false" customHeight="true" outlineLevel="0" collapsed="false">
      <c r="A48" s="4" t="s">
        <v>779</v>
      </c>
      <c r="B48" s="4" t="s">
        <v>686</v>
      </c>
      <c r="C48" s="4" t="s">
        <v>687</v>
      </c>
      <c r="D48" s="4" t="s">
        <v>688</v>
      </c>
      <c r="E48" s="4" t="s">
        <v>343</v>
      </c>
    </row>
    <row r="49" customFormat="false" ht="15" hidden="false" customHeight="true" outlineLevel="0" collapsed="false">
      <c r="A49" s="7" t="s">
        <v>780</v>
      </c>
      <c r="B49" s="33" t="n">
        <f aca="false">Beneficios_OPEX!$B$30</f>
        <v>6550744337.58291</v>
      </c>
      <c r="C49" s="30" t="n">
        <v>0</v>
      </c>
      <c r="D49" s="32" t="n">
        <f aca="false">D34*Supuestos!$B$58*Supuestos!$B$67</f>
        <v>1967454011.14811</v>
      </c>
      <c r="E49" s="7" t="s">
        <v>781</v>
      </c>
    </row>
    <row r="50" customFormat="false" ht="15" hidden="false" customHeight="true" outlineLevel="0" collapsed="false">
      <c r="A50" s="7" t="s">
        <v>782</v>
      </c>
      <c r="B50" s="30" t="n">
        <v>0</v>
      </c>
      <c r="C50" s="32" t="n">
        <f aca="false">C9*C38*Supuestos!$B$69*(1+Supuestos!$B$70)*Supuestos!$B$58</f>
        <v>629188560</v>
      </c>
      <c r="D50" s="30" t="n">
        <v>0</v>
      </c>
      <c r="E50" s="7" t="s">
        <v>783</v>
      </c>
    </row>
    <row r="51" customFormat="false" ht="15" hidden="false" customHeight="true" outlineLevel="0" collapsed="false">
      <c r="A51" s="7" t="s">
        <v>784</v>
      </c>
      <c r="B51" s="33" t="n">
        <f aca="false">Beneficios_OPEX!$B$31</f>
        <v>1515682662.87845</v>
      </c>
      <c r="C51" s="32" t="n">
        <f aca="false">(C40-C41)*Supuestos!$B$73*C7*C39*Supuestos!$B$58</f>
        <v>664148160</v>
      </c>
      <c r="D51" s="32" t="n">
        <f aca="false">(D40-D41)*Supuestos!$B$73*D7*D39*Supuestos!$B$58</f>
        <v>897324031.005976</v>
      </c>
      <c r="E51" s="7" t="s">
        <v>785</v>
      </c>
    </row>
    <row r="52" customFormat="false" ht="15" hidden="false" customHeight="true" outlineLevel="0" collapsed="false">
      <c r="A52" s="7" t="s">
        <v>786</v>
      </c>
      <c r="B52" s="33" t="n">
        <f aca="false">Beneficios_OPEX!$B$32</f>
        <v>212444053.05816</v>
      </c>
      <c r="C52" s="32" t="n">
        <f aca="false">C16*(Supuestos!$B$75*Supuestos!$B$45+Supuestos!$B$35)*12</f>
        <v>141629368.70544</v>
      </c>
      <c r="D52" s="32" t="n">
        <f aca="false">D16*(Supuestos!$B$75*Supuestos!$B$45+Supuestos!$B$35)*12</f>
        <v>141629368.70544</v>
      </c>
      <c r="E52" s="7" t="s">
        <v>787</v>
      </c>
    </row>
    <row r="53" customFormat="false" ht="15" hidden="false" customHeight="true" outlineLevel="0" collapsed="false">
      <c r="A53" s="7" t="s">
        <v>788</v>
      </c>
      <c r="B53" s="33" t="n">
        <f aca="false">Beneficios_OPEX!$B$33</f>
        <v>122616000</v>
      </c>
      <c r="C53" s="32" t="n">
        <f aca="false">C7*C42*Supuestos!$B$77*Supuestos!$B$58</f>
        <v>24471720</v>
      </c>
      <c r="D53" s="32" t="n">
        <f aca="false">D7*D42*Supuestos!$B$77*Supuestos!$B$58</f>
        <v>187902000</v>
      </c>
      <c r="E53" s="7" t="s">
        <v>789</v>
      </c>
    </row>
    <row r="54" customFormat="false" ht="15" hidden="false" customHeight="true" outlineLevel="0" collapsed="false">
      <c r="A54" s="7" t="s">
        <v>790</v>
      </c>
      <c r="B54" s="33" t="n">
        <f aca="false">Beneficios_OPEX!$B$34</f>
        <v>80000000</v>
      </c>
      <c r="C54" s="32" t="n">
        <f aca="false">Supuestos!$B$78*C43</f>
        <v>30000000</v>
      </c>
      <c r="D54" s="32" t="n">
        <f aca="false">Supuestos!$B$78*D43</f>
        <v>50000000</v>
      </c>
      <c r="E54" s="7" t="s">
        <v>791</v>
      </c>
    </row>
    <row r="55" customFormat="false" ht="15" hidden="false" customHeight="true" outlineLevel="0" collapsed="false">
      <c r="A55" s="7" t="s">
        <v>792</v>
      </c>
      <c r="B55" s="30" t="n">
        <v>0</v>
      </c>
      <c r="C55" s="30" t="n">
        <v>0</v>
      </c>
      <c r="D55" s="32" t="n">
        <f aca="false">D44*D7*D39*Supuestos!$B$31</f>
        <v>87760127.9985779</v>
      </c>
      <c r="E55" s="7" t="s">
        <v>793</v>
      </c>
    </row>
    <row r="56" customFormat="false" ht="15" hidden="false" customHeight="true" outlineLevel="0" collapsed="false">
      <c r="A56" s="34" t="s">
        <v>794</v>
      </c>
      <c r="B56" s="36" t="n">
        <f aca="false">SUM(B49:B55)</f>
        <v>8481487053.51952</v>
      </c>
      <c r="C56" s="36" t="n">
        <f aca="false">SUM(C49:C55)</f>
        <v>1489437808.70544</v>
      </c>
      <c r="D56" s="36" t="n">
        <f aca="false">SUM(D49:D55)</f>
        <v>3332069538.8581</v>
      </c>
    </row>
    <row r="58" customFormat="false" ht="15" hidden="false" customHeight="true" outlineLevel="0" collapsed="false">
      <c r="A58" s="4" t="s">
        <v>795</v>
      </c>
      <c r="B58" s="4" t="s">
        <v>686</v>
      </c>
      <c r="C58" s="4" t="s">
        <v>687</v>
      </c>
      <c r="D58" s="4" t="s">
        <v>688</v>
      </c>
      <c r="E58" s="4" t="s">
        <v>343</v>
      </c>
    </row>
    <row r="59" customFormat="false" ht="15" hidden="false" customHeight="true" outlineLevel="0" collapsed="false">
      <c r="A59" s="7" t="s">
        <v>796</v>
      </c>
      <c r="B59" s="33" t="n">
        <f aca="false">Oferta!$B$58</f>
        <v>8525918727.95925</v>
      </c>
      <c r="C59" s="33" t="n">
        <f aca="false">Oferta!$B$60</f>
        <v>3849987437.43616</v>
      </c>
      <c r="D59" s="33" t="n">
        <f aca="false">Oferta!$B$59</f>
        <v>3149989721.53868</v>
      </c>
      <c r="E59" s="7" t="s">
        <v>797</v>
      </c>
    </row>
    <row r="60" customFormat="false" ht="15" hidden="false" customHeight="true" outlineLevel="0" collapsed="false">
      <c r="A60" s="7" t="s">
        <v>798</v>
      </c>
      <c r="B60" s="32" t="n">
        <f aca="false">B59+B45+B46</f>
        <v>9604864121.54138</v>
      </c>
      <c r="C60" s="32" t="n">
        <f aca="false">C59+C45+C46</f>
        <v>4099987437.43616</v>
      </c>
      <c r="D60" s="32" t="n">
        <f aca="false">D59+D45+D46</f>
        <v>3449989721.53868</v>
      </c>
      <c r="E60" s="7" t="s">
        <v>799</v>
      </c>
    </row>
    <row r="61" customFormat="false" ht="15" hidden="false" customHeight="true" outlineLevel="0" collapsed="false">
      <c r="A61" s="7" t="s">
        <v>800</v>
      </c>
      <c r="B61" s="33" t="n">
        <f aca="false">Beneficios_OPEX!$B$46</f>
        <v>588244852.772146</v>
      </c>
      <c r="C61" s="32" t="n">
        <f aca="false">C59*$B$61/$B$59</f>
        <v>265629472.385474</v>
      </c>
      <c r="D61" s="32" t="n">
        <f aca="false">D59*$B$61/$B$59</f>
        <v>217333204.679024</v>
      </c>
      <c r="E61" s="7" t="s">
        <v>801</v>
      </c>
    </row>
    <row r="62" customFormat="false" ht="15" hidden="false" customHeight="true" outlineLevel="0" collapsed="false">
      <c r="A62" s="7" t="s">
        <v>802</v>
      </c>
      <c r="B62" s="32" t="n">
        <f aca="false">B56-B61</f>
        <v>7893242200.74738</v>
      </c>
      <c r="C62" s="32" t="n">
        <f aca="false">C56-C61</f>
        <v>1223808336.31997</v>
      </c>
      <c r="D62" s="32" t="n">
        <f aca="false">D56-D61</f>
        <v>3114736334.17908</v>
      </c>
      <c r="E62" s="7" t="s">
        <v>803</v>
      </c>
    </row>
    <row r="64" customFormat="false" ht="15" hidden="false" customHeight="true" outlineLevel="0" collapsed="false">
      <c r="A64" s="4" t="s">
        <v>804</v>
      </c>
      <c r="B64" s="4" t="s">
        <v>686</v>
      </c>
      <c r="C64" s="4" t="s">
        <v>687</v>
      </c>
      <c r="D64" s="4" t="s">
        <v>688</v>
      </c>
      <c r="E64" s="4" t="s">
        <v>343</v>
      </c>
    </row>
    <row r="65" customFormat="false" ht="23.25" hidden="false" customHeight="true" outlineLevel="0" collapsed="false">
      <c r="A65" s="7" t="s">
        <v>805</v>
      </c>
      <c r="B65" s="33" t="n">
        <f aca="false">Flujo_Pomar!B26</f>
        <v>-9227233233.78764</v>
      </c>
      <c r="C65" s="32" t="n">
        <f aca="false">-C59-(C45+C46)*(1-Supuestos!$B$10)</f>
        <v>-4012487437.43616</v>
      </c>
      <c r="D65" s="32" t="n">
        <f aca="false">-D59-(D45+D46)*(1-Supuestos!$B$10)</f>
        <v>-3344989721.53868</v>
      </c>
      <c r="E65" s="7" t="s">
        <v>806</v>
      </c>
    </row>
    <row r="66" customFormat="false" ht="15" hidden="false" customHeight="true" outlineLevel="0" collapsed="false">
      <c r="A66" s="7" t="s">
        <v>807</v>
      </c>
      <c r="B66" s="33" t="n">
        <f aca="false">Flujo_Pomar!C26</f>
        <v>2541123740.01797</v>
      </c>
      <c r="C66" s="32" t="n">
        <f aca="false">((C56*Supuestos!$B$68)-C61)*(1+Supuestos!$B$7)^1*(1-Supuestos!$B$10)+C59/Supuestos!$B$85*Supuestos!$B$10</f>
        <v>559300012.188612</v>
      </c>
      <c r="D66" s="32" t="n">
        <f aca="false">((D56*Supuestos!$B$68)-D61)*(1+Supuestos!$B$7)^1*(1-Supuestos!$B$10)+D59/Supuestos!$B$85*Supuestos!$B$10</f>
        <v>1314819798.85168</v>
      </c>
      <c r="E66" s="7" t="s">
        <v>808</v>
      </c>
    </row>
    <row r="67" customFormat="false" ht="15" hidden="false" customHeight="true" outlineLevel="0" collapsed="false">
      <c r="A67" s="7" t="s">
        <v>809</v>
      </c>
      <c r="B67" s="33" t="n">
        <f aca="false">Flujo_Pomar!D26</f>
        <v>5273373853.99786</v>
      </c>
      <c r="C67" s="32" t="n">
        <f aca="false">((C56*1)-C61)*(1+Supuestos!$B$7)^2*(1-Supuestos!$B$10)+C59/Supuestos!$B$85*Supuestos!$B$10</f>
        <v>995135773.076655</v>
      </c>
      <c r="D67" s="32" t="n">
        <f aca="false">((D56*1)-D61)*(1+Supuestos!$B$7)^2*(1-Supuestos!$B$10)+D59/Supuestos!$B$85*Supuestos!$B$10</f>
        <v>2300033872.63511</v>
      </c>
      <c r="E67" s="7"/>
    </row>
    <row r="68" customFormat="false" ht="15" hidden="false" customHeight="true" outlineLevel="0" collapsed="false">
      <c r="A68" s="7" t="s">
        <v>810</v>
      </c>
      <c r="B68" s="33" t="n">
        <f aca="false">Flujo_Pomar!E26</f>
        <v>6056647090.41439</v>
      </c>
      <c r="C68" s="32" t="n">
        <f aca="false">((C56*1)-C61)*(1+Supuestos!$B$7)^3*(1-Supuestos!$B$10)+C59/Supuestos!$B$85*Supuestos!$B$10</f>
        <v>1029551221.58731</v>
      </c>
      <c r="D68" s="32" t="n">
        <f aca="false">((D56*1)-D61)*(1+Supuestos!$B$7)^3*(1-Supuestos!$B$10)+D59/Supuestos!$B$85*Supuestos!$B$10</f>
        <v>2387625241.93036</v>
      </c>
      <c r="E68" s="7"/>
    </row>
    <row r="69" customFormat="false" ht="15" hidden="false" customHeight="true" outlineLevel="0" collapsed="false">
      <c r="A69" s="7" t="s">
        <v>811</v>
      </c>
      <c r="B69" s="33" t="n">
        <f aca="false">Flujo_Pomar!F26</f>
        <v>6285152117.72759</v>
      </c>
      <c r="C69" s="32" t="n">
        <f aca="false">((C56*1)-C61)*(1+Supuestos!$B$7)^4*(1-Supuestos!$B$10)+C59/Supuestos!$B$85*Supuestos!$B$10</f>
        <v>1065343288.03839</v>
      </c>
      <c r="D69" s="32" t="n">
        <f aca="false">((D56*1)-D61)*(1+Supuestos!$B$7)^4*(1-Supuestos!$B$10)+D59/Supuestos!$B$85*Supuestos!$B$10</f>
        <v>2478720265.99743</v>
      </c>
      <c r="E69" s="7"/>
    </row>
    <row r="70" customFormat="false" ht="15" hidden="false" customHeight="true" outlineLevel="0" collapsed="false">
      <c r="A70" s="7" t="s">
        <v>812</v>
      </c>
      <c r="B70" s="33" t="n">
        <f aca="false">Flujo_Pomar!G26</f>
        <v>6522797346.13332</v>
      </c>
      <c r="C70" s="32" t="n">
        <f aca="false">((C56*1)-C61)*(1+Supuestos!$B$7)^5*(1-Supuestos!$B$10)+C59/Supuestos!$B$85*Supuestos!$B$10</f>
        <v>1102567037.14752</v>
      </c>
      <c r="D70" s="32" t="n">
        <f aca="false">((D56*1)-D61)*(1+Supuestos!$B$7)^5*(1-Supuestos!$B$10)+D59/Supuestos!$B$85*Supuestos!$B$10</f>
        <v>2573459091.02717</v>
      </c>
      <c r="E70" s="7"/>
    </row>
    <row r="71" customFormat="false" ht="15" hidden="false" customHeight="true" outlineLevel="0" collapsed="false">
      <c r="A71" s="7" t="s">
        <v>813</v>
      </c>
      <c r="B71" s="33" t="n">
        <f aca="false">Flujo_Pomar!H26</f>
        <v>6678719879.46358</v>
      </c>
      <c r="C71" s="32" t="n">
        <f aca="false">((C56*1)-C61)*(1+Supuestos!$B$7)^6*(1-Supuestos!$B$10)+C59/Supuestos!$B$85*Supuestos!$B$10</f>
        <v>1141279736.22101</v>
      </c>
      <c r="D71" s="32" t="n">
        <f aca="false">((D56*1)-D61)*(1+Supuestos!$B$7)^6*(1-Supuestos!$B$10)+D59/Supuestos!$B$85*Supuestos!$B$10</f>
        <v>2671987469.0581</v>
      </c>
      <c r="E71" s="7"/>
    </row>
    <row r="72" customFormat="false" ht="15" hidden="false" customHeight="true" outlineLevel="0" collapsed="false">
      <c r="A72" s="7" t="s">
        <v>814</v>
      </c>
      <c r="B72" s="33" t="n">
        <f aca="false">Flujo_Pomar!I26</f>
        <v>8718455003.56513</v>
      </c>
      <c r="C72" s="32" t="n">
        <f aca="false">((C56*1)-C61)*(1+Supuestos!$B$7)^7*(1-Supuestos!$B$10)+C59/Supuestos!$B$85*Supuestos!$B$10</f>
        <v>1181540943.25744</v>
      </c>
      <c r="D72" s="32" t="n">
        <f aca="false">((D56*1)-D61)*(1+Supuestos!$B$7)^7*(1-Supuestos!$B$10)+D59/Supuestos!$B$85*Supuestos!$B$10</f>
        <v>2774456982.21027</v>
      </c>
      <c r="E72" s="7"/>
    </row>
    <row r="74" customFormat="false" ht="15" hidden="false" customHeight="true" outlineLevel="0" collapsed="false">
      <c r="A74" s="4" t="s">
        <v>815</v>
      </c>
      <c r="B74" s="4" t="s">
        <v>686</v>
      </c>
      <c r="C74" s="4" t="s">
        <v>687</v>
      </c>
      <c r="D74" s="4" t="s">
        <v>688</v>
      </c>
      <c r="E74" s="4" t="s">
        <v>343</v>
      </c>
    </row>
    <row r="75" customFormat="false" ht="15" hidden="false" customHeight="true" outlineLevel="0" collapsed="false">
      <c r="A75" s="5" t="s">
        <v>816</v>
      </c>
      <c r="B75" s="63" t="n">
        <f aca="false">B65+NPV(Supuestos!$B$31,B66:B72)</f>
        <v>15013917609.8275</v>
      </c>
      <c r="C75" s="63" t="n">
        <f aca="false">C65+NPV(Supuestos!$B$31,C66:C72)</f>
        <v>172077135.827779</v>
      </c>
      <c r="D75" s="63" t="n">
        <f aca="false">D65+NPV(Supuestos!$B$31,D66:D72)</f>
        <v>6408134395.48247</v>
      </c>
      <c r="E75" s="7" t="s">
        <v>817</v>
      </c>
    </row>
    <row r="76" customFormat="false" ht="15" hidden="false" customHeight="true" outlineLevel="0" collapsed="false">
      <c r="A76" s="5" t="s">
        <v>818</v>
      </c>
      <c r="B76" s="64" t="n">
        <f aca="false">IFERROR(IRR(B65:B72),"n.a.")</f>
        <v>0.489633110528655</v>
      </c>
      <c r="C76" s="64" t="n">
        <f aca="false">IFERROR(IRR(C65:C72),"n.a.")</f>
        <v>0.149860605862192</v>
      </c>
      <c r="D76" s="64" t="n">
        <f aca="false">IFERROR(IRR(D65:D72),"n.a.")</f>
        <v>0.572797854510747</v>
      </c>
      <c r="E76" s="7" t="s">
        <v>819</v>
      </c>
    </row>
    <row r="77" customFormat="false" ht="15" hidden="false" customHeight="true" outlineLevel="0" collapsed="false">
      <c r="A77" s="5" t="s">
        <v>820</v>
      </c>
      <c r="B77" s="44" t="n">
        <f aca="false">Flujo_Pomar!$B$36</f>
        <v>2.2332537489278</v>
      </c>
      <c r="C77" s="44" t="n">
        <f aca="false">-C65/AVERAGE(C67:C72)</f>
        <v>3.6950698523255</v>
      </c>
      <c r="D77" s="44" t="n">
        <f aca="false">-D65/AVERAGE(D67:D72)</f>
        <v>1.3215833282694</v>
      </c>
      <c r="E77" s="7" t="s">
        <v>821</v>
      </c>
    </row>
    <row r="78" customFormat="false" ht="15" hidden="false" customHeight="true" outlineLevel="0" collapsed="false">
      <c r="A78" s="5" t="s">
        <v>822</v>
      </c>
      <c r="B78" s="65" t="n">
        <f aca="false">B62/B60</f>
        <v>0.821796342026822</v>
      </c>
      <c r="C78" s="65" t="n">
        <f aca="false">C62/C60</f>
        <v>0.298490752714415</v>
      </c>
      <c r="D78" s="65" t="n">
        <f aca="false">D62/D60</f>
        <v>0.902824815602616</v>
      </c>
      <c r="E78" s="7" t="s">
        <v>823</v>
      </c>
    </row>
    <row r="79" customFormat="false" ht="15" hidden="false" customHeight="true" outlineLevel="0" collapsed="false">
      <c r="A79" s="7" t="s">
        <v>824</v>
      </c>
      <c r="B79" s="39" t="n">
        <f aca="false">Supuestos!$B$68*(1+Supuestos!$B$7)/(1+Supuestos!$B$31)+((1+Supuestos!$B$7)/(1+Supuestos!$B$31))^2+((1+Supuestos!$B$7)/(1+Supuestos!$B$31))^3+((1+Supuestos!$B$7)/(1+Supuestos!$B$31))^4+((1+Supuestos!$B$7)/(1+Supuestos!$B$31))^5+((1+Supuestos!$B$7)/(1+Supuestos!$B$31))^6+((1+Supuestos!$B$7)/(1+Supuestos!$B$31))^7</f>
        <v>4.60743086412947</v>
      </c>
      <c r="E79" s="7" t="s">
        <v>825</v>
      </c>
    </row>
    <row r="80" customFormat="false" ht="15" hidden="false" customHeight="true" outlineLevel="0" collapsed="false">
      <c r="A80" s="5" t="s">
        <v>826</v>
      </c>
      <c r="C80" s="64" t="n">
        <f aca="false">C38+(-C75)/((C50/C38)*(1-Supuestos!$B$10)*$B$79)</f>
        <v>0.0136301865495475</v>
      </c>
      <c r="E80" s="7" t="s">
        <v>827</v>
      </c>
    </row>
    <row r="81" customFormat="false" ht="23.25" hidden="false" customHeight="true" outlineLevel="0" collapsed="false">
      <c r="A81" s="7" t="s">
        <v>4</v>
      </c>
      <c r="B81" s="7" t="s">
        <v>828</v>
      </c>
      <c r="C81" s="7" t="str">
        <f aca="false">IF(C75&gt;0,"Conviene","No conviene solo por eficiencia")</f>
        <v>Conviene</v>
      </c>
      <c r="D81" s="7" t="str">
        <f aca="false">IF(D75&gt;0,"Conviene","No conviene")</f>
        <v>Conviene</v>
      </c>
      <c r="E81" s="7" t="s">
        <v>829</v>
      </c>
    </row>
    <row r="83" customFormat="false" ht="15" hidden="false" customHeight="true" outlineLevel="0" collapsed="false">
      <c r="A83" s="4" t="s">
        <v>830</v>
      </c>
      <c r="B83" s="4" t="s">
        <v>3</v>
      </c>
      <c r="C83" s="4"/>
      <c r="D83" s="4"/>
      <c r="E83" s="4" t="s">
        <v>343</v>
      </c>
    </row>
    <row r="84" customFormat="false" ht="15" hidden="false" customHeight="true" outlineLevel="0" collapsed="false">
      <c r="A84" s="7" t="s">
        <v>831</v>
      </c>
      <c r="B84" s="32" t="n">
        <f aca="false">Oferta!$B$58+Oferta!$B$59+Oferta!$B$60</f>
        <v>15525895886.9341</v>
      </c>
      <c r="E84" s="7" t="s">
        <v>832</v>
      </c>
    </row>
    <row r="85" customFormat="false" ht="15" hidden="false" customHeight="true" outlineLevel="0" collapsed="false">
      <c r="A85" s="7" t="s">
        <v>833</v>
      </c>
      <c r="B85" s="32" t="n">
        <f aca="false">Oferta!$C$58+Oferta!$C$59+Oferta!$C$60</f>
        <v>12907745794.3375</v>
      </c>
      <c r="E85" s="7" t="s">
        <v>834</v>
      </c>
    </row>
    <row r="86" customFormat="false" ht="15" hidden="false" customHeight="true" outlineLevel="0" collapsed="false">
      <c r="A86" s="7" t="s">
        <v>835</v>
      </c>
      <c r="B86" s="32" t="n">
        <f aca="false">B84-B85</f>
        <v>2618150092.59664</v>
      </c>
      <c r="E86" s="7"/>
    </row>
    <row r="87" customFormat="false" ht="15" hidden="false" customHeight="true" outlineLevel="0" collapsed="false">
      <c r="A87" s="7" t="s">
        <v>836</v>
      </c>
      <c r="B87" s="32" t="n">
        <f aca="false">B86*(1-Supuestos!$B$10)</f>
        <v>1701797560.18781</v>
      </c>
      <c r="E87" s="7" t="s">
        <v>837</v>
      </c>
    </row>
    <row r="88" customFormat="false" ht="15" hidden="false" customHeight="true" outlineLevel="0" collapsed="false">
      <c r="A88" s="7" t="s">
        <v>838</v>
      </c>
      <c r="B88" s="32" t="n">
        <f aca="false">B60+C60+D60</f>
        <v>17154841280.5162</v>
      </c>
      <c r="E88" s="7" t="s">
        <v>839</v>
      </c>
    </row>
    <row r="89" customFormat="false" ht="15" hidden="false" customHeight="true" outlineLevel="0" collapsed="false">
      <c r="A89" s="7" t="s">
        <v>840</v>
      </c>
      <c r="B89" s="32" t="n">
        <f aca="false">B56+C56+D56</f>
        <v>13302994401.0831</v>
      </c>
      <c r="E89" s="7" t="s">
        <v>839</v>
      </c>
    </row>
    <row r="90" customFormat="false" ht="15" hidden="false" customHeight="true" outlineLevel="0" collapsed="false">
      <c r="A90" s="7" t="s">
        <v>841</v>
      </c>
      <c r="B90" s="32" t="n">
        <f aca="false">B75+D75/(1+Supuestos!$B$31)+C75/(1+Supuestos!$B$31)^2</f>
        <v>20781397209.472</v>
      </c>
      <c r="E90" s="7" t="s">
        <v>842</v>
      </c>
    </row>
    <row r="91" customFormat="false" ht="15" hidden="false" customHeight="true" outlineLevel="0" collapsed="false">
      <c r="A91" s="7" t="s">
        <v>843</v>
      </c>
      <c r="B91" s="30" t="n">
        <v>26</v>
      </c>
      <c r="E91" s="7" t="s">
        <v>844</v>
      </c>
    </row>
    <row r="92" customFormat="false" ht="15" hidden="false" customHeight="true" outlineLevel="0" collapsed="false">
      <c r="A92" s="7" t="s">
        <v>845</v>
      </c>
      <c r="B92" s="30" t="n">
        <v>32</v>
      </c>
      <c r="E92" s="7" t="s">
        <v>846</v>
      </c>
    </row>
    <row r="93" customFormat="false" ht="15" hidden="false" customHeight="true" outlineLevel="0" collapsed="false">
      <c r="A93" s="7" t="s">
        <v>847</v>
      </c>
      <c r="B93" s="32" t="n">
        <f aca="false">Cronograma!$G$43+B91+B92</f>
        <v>106</v>
      </c>
      <c r="E93" s="7" t="s">
        <v>848</v>
      </c>
    </row>
    <row r="94" customFormat="false" ht="15" hidden="false" customHeight="true" outlineLevel="0" collapsed="false">
      <c r="A94" s="7" t="s">
        <v>849</v>
      </c>
      <c r="B94" s="32" t="n">
        <f aca="false">B8+C8+D8</f>
        <v>133377.207207207</v>
      </c>
      <c r="E94" s="7" t="s">
        <v>839</v>
      </c>
    </row>
    <row r="95" customFormat="false" ht="15" hidden="false" customHeight="true" outlineLevel="0" collapsed="false">
      <c r="A95" s="7" t="s">
        <v>850</v>
      </c>
      <c r="B95" s="32" t="n">
        <f aca="false">B7+C7+D7</f>
        <v>151120</v>
      </c>
      <c r="E95" s="7" t="s">
        <v>839</v>
      </c>
    </row>
    <row r="96" customFormat="false" ht="15" hidden="false" customHeight="true" outlineLevel="0" collapsed="false">
      <c r="A96" s="7" t="s">
        <v>851</v>
      </c>
      <c r="B96" s="32" t="n">
        <f aca="false">B10+C10+D10+40000</f>
        <v>229085.659057115</v>
      </c>
      <c r="E96" s="7" t="s">
        <v>852</v>
      </c>
    </row>
    <row r="97" customFormat="false" ht="15" hidden="false" customHeight="true" outlineLevel="0" collapsed="false">
      <c r="A97" s="7" t="s">
        <v>853</v>
      </c>
      <c r="B97" s="32" t="n">
        <f aca="false">B9+C9+D9+40000</f>
        <v>254514.563106796</v>
      </c>
      <c r="E97" s="7" t="s">
        <v>854</v>
      </c>
    </row>
    <row r="98" customFormat="false" ht="15" hidden="false" customHeight="true" outlineLevel="0" collapsed="false">
      <c r="A98" s="7" t="s">
        <v>855</v>
      </c>
      <c r="B98" s="30" t="n">
        <v>260000</v>
      </c>
      <c r="E98" s="7" t="s">
        <v>856</v>
      </c>
    </row>
    <row r="99" customFormat="false" ht="15" hidden="false" customHeight="true" outlineLevel="0" collapsed="false">
      <c r="A99" s="7" t="s">
        <v>857</v>
      </c>
      <c r="B99" s="38" t="n">
        <f aca="false">1-B97/B98</f>
        <v>0.0210978342046303</v>
      </c>
      <c r="E99" s="7" t="s">
        <v>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4" min="2" style="1" width="18"/>
    <col collapsed="false" customWidth="true" hidden="false" outlineLevel="0" max="5" min="5" style="1" width="95"/>
  </cols>
  <sheetData>
    <row r="1" customFormat="false" ht="17.25" hidden="false" customHeight="true" outlineLevel="0" collapsed="false">
      <c r="A1" s="2" t="s">
        <v>859</v>
      </c>
    </row>
    <row r="2" customFormat="false" ht="15" hidden="false" customHeight="true" outlineLevel="0" collapsed="false">
      <c r="A2" s="3" t="s">
        <v>860</v>
      </c>
    </row>
    <row r="4" customFormat="false" ht="15" hidden="false" customHeight="true" outlineLevel="0" collapsed="false">
      <c r="A4" s="4" t="s">
        <v>861</v>
      </c>
      <c r="B4" s="4" t="s">
        <v>598</v>
      </c>
      <c r="C4" s="4" t="s">
        <v>862</v>
      </c>
      <c r="D4" s="4" t="s">
        <v>863</v>
      </c>
      <c r="E4" s="4" t="s">
        <v>81</v>
      </c>
    </row>
    <row r="5" customFormat="false" ht="15" hidden="false" customHeight="true" outlineLevel="0" collapsed="false">
      <c r="A5" s="7" t="s">
        <v>864</v>
      </c>
      <c r="B5" s="33" t="n">
        <f aca="false">Lineas_2_3!$B$10</f>
        <v>49446.0194174757</v>
      </c>
      <c r="C5" s="33" t="n">
        <f aca="false">Lineas_2_3!$B$9</f>
        <v>66114.5631067961</v>
      </c>
      <c r="D5" s="33" t="n">
        <f aca="false">Lineas_2_3!$B$9</f>
        <v>66114.5631067961</v>
      </c>
      <c r="E5" s="7" t="s">
        <v>865</v>
      </c>
    </row>
    <row r="6" customFormat="false" ht="15" hidden="false" customHeight="true" outlineLevel="0" collapsed="false">
      <c r="A6" s="7" t="s">
        <v>866</v>
      </c>
      <c r="B6" s="33" t="n">
        <f aca="false">Lineas_2_3!$C$10</f>
        <v>60000</v>
      </c>
      <c r="C6" s="33" t="n">
        <f aca="false">Lineas_2_3!$C$10</f>
        <v>60000</v>
      </c>
      <c r="D6" s="33" t="n">
        <f aca="false">Lineas_2_3!$C$9</f>
        <v>60000</v>
      </c>
      <c r="E6" s="7" t="s">
        <v>865</v>
      </c>
    </row>
    <row r="7" customFormat="false" ht="15" hidden="false" customHeight="true" outlineLevel="0" collapsed="false">
      <c r="A7" s="7" t="s">
        <v>867</v>
      </c>
      <c r="B7" s="33" t="n">
        <f aca="false">Lineas_2_3!$D$10</f>
        <v>79639.6396396396</v>
      </c>
      <c r="C7" s="33" t="n">
        <f aca="false">Lineas_2_3!$D$10</f>
        <v>79639.6396396396</v>
      </c>
      <c r="D7" s="33" t="n">
        <f aca="false">Lineas_2_3!$D$9</f>
        <v>88400</v>
      </c>
      <c r="E7" s="7" t="s">
        <v>865</v>
      </c>
    </row>
    <row r="8" customFormat="false" ht="15" hidden="false" customHeight="true" outlineLevel="0" collapsed="false">
      <c r="A8" s="7" t="s">
        <v>868</v>
      </c>
      <c r="B8" s="30" t="n">
        <v>40000</v>
      </c>
      <c r="C8" s="30" t="n">
        <v>40000</v>
      </c>
      <c r="D8" s="30" t="n">
        <v>40000</v>
      </c>
      <c r="E8" s="7" t="s">
        <v>869</v>
      </c>
    </row>
    <row r="9" customFormat="false" ht="15" hidden="false" customHeight="true" outlineLevel="0" collapsed="false">
      <c r="A9" s="7" t="s">
        <v>870</v>
      </c>
      <c r="B9" s="32" t="n">
        <f aca="false">SUM(B5:B8)</f>
        <v>229085.659057115</v>
      </c>
      <c r="C9" s="32" t="n">
        <f aca="false">SUM(C5:C8)</f>
        <v>245754.202746436</v>
      </c>
      <c r="D9" s="32" t="n">
        <f aca="false">SUM(D5:D8)</f>
        <v>254514.563106796</v>
      </c>
      <c r="E9" s="7" t="s">
        <v>871</v>
      </c>
    </row>
    <row r="10" customFormat="false" ht="15" hidden="false" customHeight="true" outlineLevel="0" collapsed="false">
      <c r="A10" s="7" t="s">
        <v>872</v>
      </c>
      <c r="B10" s="46" t="n">
        <f aca="false">VSM_Actual!$B$25</f>
        <v>1.93189259986902</v>
      </c>
      <c r="C10" s="46" t="n">
        <f aca="false">VSM_Actual!$C$25</f>
        <v>3.27439423706614</v>
      </c>
      <c r="D10" s="46" t="n">
        <f aca="false">VSM_Actual!$C$25</f>
        <v>3.27439423706614</v>
      </c>
      <c r="E10" s="7" t="s">
        <v>873</v>
      </c>
    </row>
    <row r="11" customFormat="false" ht="15" hidden="false" customHeight="true" outlineLevel="0" collapsed="false">
      <c r="A11" s="7" t="s">
        <v>874</v>
      </c>
      <c r="B11" s="48" t="n">
        <f aca="false">VSM_Actual!$B$69</f>
        <v>98.7429776264728</v>
      </c>
      <c r="C11" s="48" t="n">
        <f aca="false">VSM_Actual!$C$69</f>
        <v>118.343922348777</v>
      </c>
      <c r="D11" s="48" t="n">
        <f aca="false">VSM_Actual!$C$69</f>
        <v>118.343922348777</v>
      </c>
      <c r="E11" s="7" t="s">
        <v>873</v>
      </c>
    </row>
    <row r="12" customFormat="false" ht="15" hidden="false" customHeight="true" outlineLevel="0" collapsed="false">
      <c r="A12" s="7" t="s">
        <v>875</v>
      </c>
      <c r="B12" s="41" t="n">
        <v>3</v>
      </c>
      <c r="C12" s="41" t="n">
        <v>2</v>
      </c>
      <c r="D12" s="41" t="n">
        <v>2</v>
      </c>
      <c r="E12" s="7" t="s">
        <v>876</v>
      </c>
    </row>
    <row r="13" customFormat="false" ht="15" hidden="false" customHeight="true" outlineLevel="0" collapsed="false">
      <c r="A13" s="7" t="s">
        <v>877</v>
      </c>
      <c r="B13" s="30" t="n">
        <v>18</v>
      </c>
      <c r="C13" s="30" t="n">
        <v>18</v>
      </c>
      <c r="D13" s="30" t="n">
        <v>18</v>
      </c>
      <c r="E13" s="7" t="s">
        <v>878</v>
      </c>
    </row>
    <row r="14" customFormat="false" ht="15" hidden="false" customHeight="true" outlineLevel="0" collapsed="false">
      <c r="A14" s="7" t="s">
        <v>879</v>
      </c>
      <c r="B14" s="48" t="n">
        <f aca="false">102/(1+Lineas_2_3!$D$6)</f>
        <v>91.8918918918919</v>
      </c>
      <c r="C14" s="48" t="n">
        <f aca="false">102/(1+Lineas_2_3!$D$6)</f>
        <v>91.8918918918919</v>
      </c>
      <c r="D14" s="41" t="n">
        <v>102</v>
      </c>
      <c r="E14" s="7" t="s">
        <v>880</v>
      </c>
    </row>
    <row r="15" customFormat="false" ht="15" hidden="false" customHeight="true" outlineLevel="0" collapsed="false">
      <c r="A15" s="7" t="s">
        <v>881</v>
      </c>
      <c r="B15" s="30" t="n">
        <v>7</v>
      </c>
      <c r="C15" s="30" t="n">
        <v>7</v>
      </c>
      <c r="D15" s="30" t="n">
        <v>5</v>
      </c>
      <c r="E15" s="7" t="s">
        <v>882</v>
      </c>
    </row>
    <row r="17" customFormat="false" ht="15" hidden="false" customHeight="true" outlineLevel="0" collapsed="false">
      <c r="A17" s="4" t="s">
        <v>883</v>
      </c>
      <c r="B17" s="4" t="s">
        <v>884</v>
      </c>
      <c r="C17" s="4" t="s">
        <v>885</v>
      </c>
      <c r="D17" s="4" t="s">
        <v>886</v>
      </c>
      <c r="E17" s="4" t="s">
        <v>81</v>
      </c>
    </row>
    <row r="18" customFormat="false" ht="23.25" hidden="false" customHeight="true" outlineLevel="0" collapsed="false">
      <c r="A18" s="7" t="s">
        <v>887</v>
      </c>
      <c r="B18" s="66" t="n">
        <v>120</v>
      </c>
      <c r="C18" s="66" t="n">
        <v>150</v>
      </c>
      <c r="D18" s="66" t="n">
        <v>110</v>
      </c>
      <c r="E18" s="7" t="s">
        <v>888</v>
      </c>
    </row>
    <row r="19" customFormat="false" ht="15" hidden="false" customHeight="true" outlineLevel="0" collapsed="false">
      <c r="A19" s="7" t="s">
        <v>889</v>
      </c>
      <c r="B19" s="41" t="n">
        <v>3.5</v>
      </c>
      <c r="C19" s="41" t="n">
        <v>2</v>
      </c>
      <c r="D19" s="41" t="n">
        <v>1</v>
      </c>
      <c r="E19" s="7" t="s">
        <v>890</v>
      </c>
    </row>
    <row r="21" customFormat="false" ht="15" hidden="false" customHeight="true" outlineLevel="0" collapsed="false">
      <c r="A21" s="4" t="s">
        <v>891</v>
      </c>
      <c r="B21" s="4" t="s">
        <v>598</v>
      </c>
      <c r="C21" s="4" t="s">
        <v>862</v>
      </c>
      <c r="D21" s="4" t="s">
        <v>863</v>
      </c>
      <c r="E21" s="4" t="s">
        <v>892</v>
      </c>
    </row>
    <row r="22" customFormat="false" ht="15" hidden="false" customHeight="true" outlineLevel="0" collapsed="false">
      <c r="A22" s="12" t="s">
        <v>893</v>
      </c>
      <c r="B22" s="13"/>
      <c r="C22" s="13"/>
      <c r="D22" s="13"/>
      <c r="E22" s="13" t="s">
        <v>894</v>
      </c>
    </row>
    <row r="23" customFormat="false" ht="15" hidden="false" customHeight="true" outlineLevel="0" collapsed="false">
      <c r="A23" s="7" t="s">
        <v>895</v>
      </c>
      <c r="B23" s="32" t="n">
        <f aca="false">B9</f>
        <v>229085.659057115</v>
      </c>
      <c r="C23" s="32" t="n">
        <f aca="false">C9</f>
        <v>245754.202746436</v>
      </c>
      <c r="D23" s="32" t="n">
        <f aca="false">D9</f>
        <v>254514.563106796</v>
      </c>
    </row>
    <row r="24" customFormat="false" ht="15" hidden="false" customHeight="true" outlineLevel="0" collapsed="false">
      <c r="A24" s="7" t="s">
        <v>896</v>
      </c>
      <c r="B24" s="30" t="n">
        <v>260000</v>
      </c>
      <c r="C24" s="30" t="n">
        <v>260000</v>
      </c>
      <c r="D24" s="30" t="n">
        <v>260000</v>
      </c>
    </row>
    <row r="25" customFormat="false" ht="15" hidden="false" customHeight="true" outlineLevel="0" collapsed="false">
      <c r="A25" s="5" t="s">
        <v>897</v>
      </c>
      <c r="B25" s="45" t="n">
        <f aca="false">B23/B24</f>
        <v>0.881098688681213</v>
      </c>
      <c r="C25" s="45" t="n">
        <f aca="false">C23/C24</f>
        <v>0.945208472101676</v>
      </c>
      <c r="D25" s="45" t="n">
        <f aca="false">D23/D24</f>
        <v>0.97890216579537</v>
      </c>
    </row>
    <row r="26" customFormat="false" ht="23.25" hidden="false" customHeight="true" outlineLevel="0" collapsed="false">
      <c r="A26" s="12" t="s">
        <v>898</v>
      </c>
      <c r="B26" s="13"/>
      <c r="C26" s="13"/>
      <c r="D26" s="13"/>
      <c r="E26" s="13" t="s">
        <v>899</v>
      </c>
    </row>
    <row r="27" customFormat="false" ht="15" hidden="false" customHeight="true" outlineLevel="0" collapsed="false">
      <c r="A27" s="7" t="s">
        <v>895</v>
      </c>
      <c r="B27" s="32" t="n">
        <f aca="false">B9</f>
        <v>229085.659057115</v>
      </c>
      <c r="C27" s="32" t="n">
        <f aca="false">C9</f>
        <v>245754.202746436</v>
      </c>
      <c r="D27" s="32" t="n">
        <f aca="false">D9</f>
        <v>254514.563106796</v>
      </c>
    </row>
    <row r="28" customFormat="false" ht="15" hidden="false" customHeight="true" outlineLevel="0" collapsed="false">
      <c r="A28" s="7" t="s">
        <v>896</v>
      </c>
      <c r="B28" s="30" t="n">
        <v>1000000</v>
      </c>
      <c r="C28" s="30" t="n">
        <v>1000000</v>
      </c>
      <c r="D28" s="30" t="n">
        <v>1000000</v>
      </c>
    </row>
    <row r="29" customFormat="false" ht="15" hidden="false" customHeight="true" outlineLevel="0" collapsed="false">
      <c r="A29" s="5" t="s">
        <v>897</v>
      </c>
      <c r="B29" s="45" t="n">
        <f aca="false">B27/B28</f>
        <v>0.229085659057115</v>
      </c>
      <c r="C29" s="45" t="n">
        <f aca="false">C27/C28</f>
        <v>0.245754202746436</v>
      </c>
      <c r="D29" s="45" t="n">
        <f aca="false">D27/D28</f>
        <v>0.254514563106796</v>
      </c>
    </row>
    <row r="30" customFormat="false" ht="15" hidden="false" customHeight="true" outlineLevel="0" collapsed="false">
      <c r="A30" s="12" t="s">
        <v>900</v>
      </c>
      <c r="B30" s="13"/>
      <c r="C30" s="13"/>
      <c r="D30" s="13"/>
      <c r="E30" s="13" t="s">
        <v>901</v>
      </c>
    </row>
    <row r="31" customFormat="false" ht="15" hidden="false" customHeight="true" outlineLevel="0" collapsed="false">
      <c r="A31" s="7" t="s">
        <v>895</v>
      </c>
      <c r="B31" s="32" t="n">
        <f aca="false">B9*12/24</f>
        <v>114542.829528558</v>
      </c>
      <c r="C31" s="32" t="n">
        <f aca="false">C9*12/24</f>
        <v>122877.101373218</v>
      </c>
      <c r="D31" s="32" t="n">
        <f aca="false">D9*12/24</f>
        <v>127257.281553398</v>
      </c>
    </row>
    <row r="32" customFormat="false" ht="15" hidden="false" customHeight="true" outlineLevel="0" collapsed="false">
      <c r="A32" s="7" t="s">
        <v>896</v>
      </c>
      <c r="B32" s="30" t="n">
        <v>240000</v>
      </c>
      <c r="C32" s="30" t="n">
        <v>240000</v>
      </c>
      <c r="D32" s="30" t="n">
        <v>240000</v>
      </c>
    </row>
    <row r="33" customFormat="false" ht="15" hidden="false" customHeight="true" outlineLevel="0" collapsed="false">
      <c r="A33" s="5" t="s">
        <v>897</v>
      </c>
      <c r="B33" s="45" t="n">
        <f aca="false">B31/B32</f>
        <v>0.477261789702324</v>
      </c>
      <c r="C33" s="45" t="n">
        <f aca="false">C31/C32</f>
        <v>0.511987922388408</v>
      </c>
      <c r="D33" s="45" t="n">
        <f aca="false">D31/D32</f>
        <v>0.530238673139159</v>
      </c>
    </row>
    <row r="34" customFormat="false" ht="15" hidden="false" customHeight="true" outlineLevel="0" collapsed="false">
      <c r="A34" s="12" t="s">
        <v>902</v>
      </c>
      <c r="B34" s="13"/>
      <c r="C34" s="13"/>
      <c r="D34" s="13"/>
      <c r="E34" s="13" t="s">
        <v>903</v>
      </c>
    </row>
    <row r="35" customFormat="false" ht="15" hidden="false" customHeight="true" outlineLevel="0" collapsed="false">
      <c r="A35" s="7" t="s">
        <v>895</v>
      </c>
      <c r="B35" s="32" t="n">
        <f aca="false">B9</f>
        <v>229085.659057115</v>
      </c>
      <c r="C35" s="32" t="n">
        <f aca="false">C9</f>
        <v>245754.202746436</v>
      </c>
      <c r="D35" s="32" t="n">
        <f aca="false">D9</f>
        <v>254514.563106796</v>
      </c>
    </row>
    <row r="36" customFormat="false" ht="15" hidden="false" customHeight="true" outlineLevel="0" collapsed="false">
      <c r="A36" s="7" t="s">
        <v>896</v>
      </c>
      <c r="B36" s="30" t="n">
        <v>400000</v>
      </c>
      <c r="C36" s="30" t="n">
        <v>400000</v>
      </c>
      <c r="D36" s="30" t="n">
        <v>400000</v>
      </c>
    </row>
    <row r="37" customFormat="false" ht="15" hidden="false" customHeight="true" outlineLevel="0" collapsed="false">
      <c r="A37" s="5" t="s">
        <v>897</v>
      </c>
      <c r="B37" s="45" t="n">
        <f aca="false">B35/B36</f>
        <v>0.572714147642788</v>
      </c>
      <c r="C37" s="45" t="n">
        <f aca="false">C35/C36</f>
        <v>0.614385506866089</v>
      </c>
      <c r="D37" s="45" t="n">
        <f aca="false">D35/D36</f>
        <v>0.63628640776699</v>
      </c>
    </row>
    <row r="38" customFormat="false" ht="15" hidden="false" customHeight="true" outlineLevel="0" collapsed="false">
      <c r="A38" s="12" t="s">
        <v>904</v>
      </c>
      <c r="B38" s="13"/>
      <c r="C38" s="13"/>
      <c r="D38" s="13"/>
      <c r="E38" s="13" t="s">
        <v>905</v>
      </c>
    </row>
    <row r="39" customFormat="false" ht="15" hidden="false" customHeight="true" outlineLevel="0" collapsed="false">
      <c r="A39" s="7" t="s">
        <v>895</v>
      </c>
      <c r="B39" s="40" t="n">
        <f aca="false">B9/25000*0.75+1.5</f>
        <v>8.37256977171346</v>
      </c>
      <c r="C39" s="40" t="n">
        <f aca="false">C9/25000*0.75+1.5</f>
        <v>8.87262608239307</v>
      </c>
      <c r="D39" s="40" t="n">
        <f aca="false">D9/25000*0.75+1.5</f>
        <v>9.13543689320389</v>
      </c>
    </row>
    <row r="40" customFormat="false" ht="15" hidden="false" customHeight="true" outlineLevel="0" collapsed="false">
      <c r="A40" s="7" t="s">
        <v>896</v>
      </c>
      <c r="B40" s="41" t="n">
        <v>20</v>
      </c>
      <c r="C40" s="41" t="n">
        <v>20</v>
      </c>
      <c r="D40" s="41" t="n">
        <v>20</v>
      </c>
    </row>
    <row r="41" customFormat="false" ht="15" hidden="false" customHeight="true" outlineLevel="0" collapsed="false">
      <c r="A41" s="5" t="s">
        <v>897</v>
      </c>
      <c r="B41" s="45" t="n">
        <f aca="false">B39/B40</f>
        <v>0.418628488585673</v>
      </c>
      <c r="C41" s="45" t="n">
        <f aca="false">C39/C40</f>
        <v>0.443631304119654</v>
      </c>
      <c r="D41" s="45" t="n">
        <f aca="false">D39/D40</f>
        <v>0.456771844660194</v>
      </c>
    </row>
    <row r="42" customFormat="false" ht="15" hidden="false" customHeight="true" outlineLevel="0" collapsed="false">
      <c r="A42" s="12" t="s">
        <v>906</v>
      </c>
      <c r="B42" s="13"/>
      <c r="C42" s="13"/>
      <c r="D42" s="13"/>
      <c r="E42" s="13" t="s">
        <v>907</v>
      </c>
    </row>
    <row r="43" customFormat="false" ht="15" hidden="false" customHeight="true" outlineLevel="0" collapsed="false">
      <c r="A43" s="7" t="s">
        <v>895</v>
      </c>
      <c r="B43" s="32" t="n">
        <f aca="false">(B5*$B$18+B6*$C$18+B7*$D$18+B8*60)/1000/16*1.5</f>
        <v>2446.30150223039</v>
      </c>
      <c r="C43" s="32" t="n">
        <f aca="false">(C5*$B$18+C6*$C$18+C7*$D$18+C8*60)/1000/16*1.5</f>
        <v>2633.82261873524</v>
      </c>
      <c r="D43" s="32" t="n">
        <f aca="false">(D5*$B$18+D6*$C$18+D7*$D$18+D8*60)/1000/16*1.5</f>
        <v>2724.16383495146</v>
      </c>
    </row>
    <row r="44" customFormat="false" ht="15" hidden="false" customHeight="true" outlineLevel="0" collapsed="false">
      <c r="A44" s="7" t="s">
        <v>896</v>
      </c>
      <c r="B44" s="30" t="n">
        <v>4000</v>
      </c>
      <c r="C44" s="30" t="n">
        <v>4000</v>
      </c>
      <c r="D44" s="30" t="n">
        <v>4000</v>
      </c>
    </row>
    <row r="45" customFormat="false" ht="15" hidden="false" customHeight="true" outlineLevel="0" collapsed="false">
      <c r="A45" s="5" t="s">
        <v>897</v>
      </c>
      <c r="B45" s="45" t="n">
        <f aca="false">B43/B44</f>
        <v>0.611575375557596</v>
      </c>
      <c r="C45" s="45" t="n">
        <f aca="false">C43/C44</f>
        <v>0.65845565468381</v>
      </c>
      <c r="D45" s="45" t="n">
        <f aca="false">D43/D44</f>
        <v>0.681040958737864</v>
      </c>
    </row>
    <row r="46" customFormat="false" ht="15" hidden="false" customHeight="true" outlineLevel="0" collapsed="false">
      <c r="A46" s="12" t="s">
        <v>908</v>
      </c>
      <c r="B46" s="13"/>
      <c r="C46" s="13"/>
      <c r="D46" s="13"/>
      <c r="E46" s="13" t="s">
        <v>909</v>
      </c>
    </row>
    <row r="47" customFormat="false" ht="15" hidden="false" customHeight="true" outlineLevel="0" collapsed="false">
      <c r="A47" s="7" t="s">
        <v>895</v>
      </c>
      <c r="B47" s="32" t="n">
        <f aca="false">(B5*$B$19+B6*$C$19+B7*$D$19+B8*1.5)/1000</f>
        <v>432.700707600805</v>
      </c>
      <c r="C47" s="32" t="n">
        <f aca="false">(C5*$B$19+C6*$C$19+C7*$D$19+C8*1.5)/1000</f>
        <v>491.040610513426</v>
      </c>
      <c r="D47" s="32" t="n">
        <f aca="false">(D5*$B$19+D6*$C$19+D7*$D$19+D8*1.5)/1000</f>
        <v>499.800970873786</v>
      </c>
    </row>
    <row r="48" customFormat="false" ht="15" hidden="false" customHeight="true" outlineLevel="0" collapsed="false">
      <c r="A48" s="7" t="s">
        <v>896</v>
      </c>
      <c r="B48" s="30" t="n">
        <v>700</v>
      </c>
      <c r="C48" s="30" t="n">
        <v>700</v>
      </c>
      <c r="D48" s="30" t="n">
        <v>700</v>
      </c>
    </row>
    <row r="49" customFormat="false" ht="15" hidden="false" customHeight="true" outlineLevel="0" collapsed="false">
      <c r="A49" s="5" t="s">
        <v>897</v>
      </c>
      <c r="B49" s="45" t="n">
        <f aca="false">B47/B48</f>
        <v>0.618143868001149</v>
      </c>
      <c r="C49" s="45" t="n">
        <f aca="false">C47/C48</f>
        <v>0.701486586447752</v>
      </c>
      <c r="D49" s="45" t="n">
        <f aca="false">D47/D48</f>
        <v>0.714001386962552</v>
      </c>
    </row>
    <row r="50" customFormat="false" ht="15" hidden="false" customHeight="true" outlineLevel="0" collapsed="false">
      <c r="A50" s="12" t="s">
        <v>910</v>
      </c>
      <c r="B50" s="13"/>
      <c r="C50" s="13"/>
      <c r="D50" s="13"/>
      <c r="E50" s="13" t="s">
        <v>911</v>
      </c>
    </row>
    <row r="51" customFormat="false" ht="15" hidden="false" customHeight="true" outlineLevel="0" collapsed="false">
      <c r="A51" s="7" t="s">
        <v>895</v>
      </c>
      <c r="B51" s="32" t="n">
        <f aca="false">(B6-7470)+B10*6950</f>
        <v>65956.6535690897</v>
      </c>
      <c r="C51" s="32" t="n">
        <f aca="false">(C6-7470)+C10*6950</f>
        <v>75287.0399476097</v>
      </c>
      <c r="D51" s="32" t="n">
        <f aca="false">(D6-7470)+D10*6950</f>
        <v>75287.0399476097</v>
      </c>
    </row>
    <row r="52" customFormat="false" ht="15" hidden="false" customHeight="true" outlineLevel="0" collapsed="false">
      <c r="A52" s="7" t="s">
        <v>896</v>
      </c>
      <c r="B52" s="30" t="n">
        <v>90000</v>
      </c>
      <c r="C52" s="30" t="n">
        <v>90000</v>
      </c>
      <c r="D52" s="30" t="n">
        <v>90000</v>
      </c>
    </row>
    <row r="53" customFormat="false" ht="15" hidden="false" customHeight="true" outlineLevel="0" collapsed="false">
      <c r="A53" s="5" t="s">
        <v>897</v>
      </c>
      <c r="B53" s="45" t="n">
        <f aca="false">B51/B52</f>
        <v>0.732851706323219</v>
      </c>
      <c r="C53" s="45" t="n">
        <f aca="false">C51/C52</f>
        <v>0.836522666084552</v>
      </c>
      <c r="D53" s="45" t="n">
        <f aca="false">D51/D52</f>
        <v>0.836522666084552</v>
      </c>
    </row>
    <row r="54" customFormat="false" ht="15" hidden="false" customHeight="true" outlineLevel="0" collapsed="false">
      <c r="A54" s="12" t="s">
        <v>912</v>
      </c>
      <c r="B54" s="13"/>
      <c r="C54" s="13"/>
      <c r="D54" s="13"/>
      <c r="E54" s="13" t="s">
        <v>913</v>
      </c>
    </row>
    <row r="55" customFormat="false" ht="15" hidden="false" customHeight="true" outlineLevel="0" collapsed="false">
      <c r="A55" s="7" t="s">
        <v>895</v>
      </c>
      <c r="B55" s="32" t="n">
        <f aca="false">(VSM_Actual!$B$22+VSM_Actual!$B$27)*B12+VSM_Actual!$B$32*(B12+1)+B13*2</f>
        <v>352.725157259138</v>
      </c>
      <c r="C55" s="32" t="n">
        <f aca="false">(VSM_Actual!$C$22+VSM_Actual!$C$27)*C12+VSM_Actual!$C$32*(C12+1)+C13*2</f>
        <v>294.981983496547</v>
      </c>
      <c r="D55" s="32" t="n">
        <f aca="false">(VSM_Actual!$C$22+VSM_Actual!$C$27)*D12+VSM_Actual!$C$32*(D12+1)+D13*2</f>
        <v>294.981983496547</v>
      </c>
    </row>
    <row r="56" customFormat="false" ht="15" hidden="false" customHeight="true" outlineLevel="0" collapsed="false">
      <c r="A56" s="7" t="s">
        <v>896</v>
      </c>
      <c r="B56" s="30" t="n">
        <v>420</v>
      </c>
      <c r="C56" s="30" t="n">
        <v>420</v>
      </c>
      <c r="D56" s="30" t="n">
        <v>420</v>
      </c>
    </row>
    <row r="57" customFormat="false" ht="15" hidden="false" customHeight="true" outlineLevel="0" collapsed="false">
      <c r="A57" s="5" t="s">
        <v>897</v>
      </c>
      <c r="B57" s="45" t="n">
        <f aca="false">B55/B56</f>
        <v>0.839821802997947</v>
      </c>
      <c r="C57" s="45" t="n">
        <f aca="false">C55/C56</f>
        <v>0.702338055944159</v>
      </c>
      <c r="D57" s="45" t="n">
        <f aca="false">D55/D56</f>
        <v>0.702338055944159</v>
      </c>
    </row>
    <row r="58" customFormat="false" ht="15" hidden="false" customHeight="true" outlineLevel="0" collapsed="false">
      <c r="A58" s="12" t="s">
        <v>914</v>
      </c>
      <c r="B58" s="13"/>
      <c r="C58" s="13"/>
      <c r="D58" s="13"/>
      <c r="E58" s="13" t="s">
        <v>915</v>
      </c>
    </row>
    <row r="59" customFormat="false" ht="15" hidden="false" customHeight="true" outlineLevel="0" collapsed="false">
      <c r="A59" s="7" t="s">
        <v>895</v>
      </c>
      <c r="B59" s="32" t="n">
        <f aca="false">B14*B15</f>
        <v>643.243243243243</v>
      </c>
      <c r="C59" s="32" t="n">
        <f aca="false">C14*C15</f>
        <v>643.243243243243</v>
      </c>
      <c r="D59" s="32" t="n">
        <f aca="false">D14*D15</f>
        <v>510</v>
      </c>
    </row>
    <row r="60" customFormat="false" ht="15" hidden="false" customHeight="true" outlineLevel="0" collapsed="false">
      <c r="A60" s="7" t="s">
        <v>896</v>
      </c>
      <c r="B60" s="30" t="n">
        <v>800</v>
      </c>
      <c r="C60" s="30" t="n">
        <v>800</v>
      </c>
      <c r="D60" s="30" t="n">
        <v>800</v>
      </c>
    </row>
    <row r="61" customFormat="false" ht="15" hidden="false" customHeight="true" outlineLevel="0" collapsed="false">
      <c r="A61" s="5" t="s">
        <v>897</v>
      </c>
      <c r="B61" s="45" t="n">
        <f aca="false">B59/B60</f>
        <v>0.804054054054054</v>
      </c>
      <c r="C61" s="45" t="n">
        <f aca="false">C59/C60</f>
        <v>0.804054054054054</v>
      </c>
      <c r="D61" s="45" t="n">
        <f aca="false">D59/D60</f>
        <v>0.6375</v>
      </c>
    </row>
    <row r="62" customFormat="false" ht="15" hidden="false" customHeight="true" outlineLevel="0" collapsed="false">
      <c r="A62" s="12" t="s">
        <v>916</v>
      </c>
      <c r="B62" s="13"/>
      <c r="C62" s="13"/>
      <c r="D62" s="13"/>
      <c r="E62" s="13" t="s">
        <v>917</v>
      </c>
    </row>
    <row r="63" customFormat="false" ht="15" hidden="false" customHeight="true" outlineLevel="0" collapsed="false">
      <c r="A63" s="7" t="s">
        <v>895</v>
      </c>
      <c r="B63" s="40" t="n">
        <f aca="false">(B11+B13+B14)/24</f>
        <v>8.69311956326519</v>
      </c>
      <c r="C63" s="40" t="n">
        <f aca="false">(C11+C13+C14)/24</f>
        <v>9.50982559336119</v>
      </c>
      <c r="D63" s="40" t="n">
        <f aca="false">(D11+D13+D14)/24</f>
        <v>9.93099676453236</v>
      </c>
    </row>
    <row r="64" customFormat="false" ht="15" hidden="false" customHeight="true" outlineLevel="0" collapsed="false">
      <c r="A64" s="7" t="s">
        <v>896</v>
      </c>
      <c r="B64" s="41" t="n">
        <v>64</v>
      </c>
      <c r="C64" s="41" t="n">
        <v>64</v>
      </c>
      <c r="D64" s="41" t="n">
        <v>64</v>
      </c>
    </row>
    <row r="65" customFormat="false" ht="15" hidden="false" customHeight="true" outlineLevel="0" collapsed="false">
      <c r="A65" s="5" t="s">
        <v>897</v>
      </c>
      <c r="B65" s="45" t="n">
        <f aca="false">B63/B64</f>
        <v>0.135829993176019</v>
      </c>
      <c r="C65" s="45" t="n">
        <f aca="false">C63/C64</f>
        <v>0.148591024896269</v>
      </c>
      <c r="D65" s="45" t="n">
        <f aca="false">D63/D64</f>
        <v>0.155171824445818</v>
      </c>
    </row>
    <row r="67" customFormat="false" ht="15" hidden="false" customHeight="true" outlineLevel="0" collapsed="false">
      <c r="A67" s="5" t="s">
        <v>4</v>
      </c>
    </row>
    <row r="68" customFormat="false" ht="27.75" hidden="false" customHeight="true" outlineLevel="0" collapsed="false">
      <c r="A68" s="7" t="s">
        <v>918</v>
      </c>
      <c r="B68" s="7"/>
      <c r="C68" s="7"/>
      <c r="D68" s="7"/>
      <c r="E68" s="7"/>
    </row>
    <row r="69" customFormat="false" ht="27.75" hidden="false" customHeight="true" outlineLevel="0" collapsed="false">
      <c r="A69" s="7" t="s">
        <v>919</v>
      </c>
      <c r="B69" s="7"/>
      <c r="C69" s="7"/>
      <c r="D69" s="7"/>
      <c r="E69" s="7"/>
    </row>
    <row r="70" customFormat="false" ht="27.75" hidden="false" customHeight="true" outlineLevel="0" collapsed="false">
      <c r="A70" s="7" t="s">
        <v>920</v>
      </c>
      <c r="B70" s="7"/>
      <c r="C70" s="7"/>
      <c r="D70" s="7"/>
      <c r="E70" s="7"/>
    </row>
    <row r="71" customFormat="false" ht="27.75" hidden="false" customHeight="true" outlineLevel="0" collapsed="false">
      <c r="A71" s="7" t="s">
        <v>921</v>
      </c>
      <c r="B71" s="7"/>
      <c r="C71" s="7"/>
      <c r="D71" s="7"/>
      <c r="E71" s="7"/>
    </row>
  </sheetData>
  <mergeCells count="4">
    <mergeCell ref="A68:E68"/>
    <mergeCell ref="A69:E69"/>
    <mergeCell ref="A70:E70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9"/>
    <col collapsed="false" customWidth="true" hidden="false" outlineLevel="0" max="4" min="4" style="1" width="52"/>
    <col collapsed="false" customWidth="true" hidden="false" outlineLevel="0" max="5" min="5" style="1" width="26"/>
    <col collapsed="false" customWidth="true" hidden="false" outlineLevel="0" max="6" min="6" style="1" width="6"/>
    <col collapsed="false" customWidth="true" hidden="false" outlineLevel="0" max="7" min="7" style="1" width="8"/>
    <col collapsed="false" customWidth="true" hidden="false" outlineLevel="0" max="8" min="8" style="1" width="14"/>
    <col collapsed="false" customWidth="true" hidden="false" outlineLevel="0" max="9" min="9" style="1" width="9"/>
    <col collapsed="false" customWidth="true" hidden="false" outlineLevel="0" max="10" min="10" style="1" width="17"/>
    <col collapsed="false" customWidth="true" hidden="false" outlineLevel="0" max="11" min="11" style="1" width="14"/>
    <col collapsed="false" customWidth="true" hidden="false" outlineLevel="0" max="12" min="12" style="1" width="50"/>
    <col collapsed="false" customWidth="true" hidden="false" outlineLevel="0" max="13" min="13" style="1" width="20"/>
    <col collapsed="false" customWidth="true" hidden="false" outlineLevel="0" max="14" min="14" style="1" width="14"/>
  </cols>
  <sheetData>
    <row r="1" customFormat="false" ht="17.25" hidden="false" customHeight="true" outlineLevel="0" collapsed="false">
      <c r="A1" s="2" t="s">
        <v>922</v>
      </c>
    </row>
    <row r="2" customFormat="false" ht="15" hidden="false" customHeight="true" outlineLevel="0" collapsed="false">
      <c r="A2" s="3" t="s">
        <v>923</v>
      </c>
    </row>
    <row r="4" customFormat="false" ht="23.25" hidden="false" customHeight="true" outlineLevel="0" collapsed="false">
      <c r="A4" s="4" t="s">
        <v>924</v>
      </c>
      <c r="B4" s="4" t="s">
        <v>925</v>
      </c>
      <c r="C4" s="4" t="s">
        <v>926</v>
      </c>
      <c r="D4" s="4" t="s">
        <v>927</v>
      </c>
      <c r="E4" s="4" t="s">
        <v>928</v>
      </c>
      <c r="F4" s="4" t="s">
        <v>929</v>
      </c>
      <c r="G4" s="4" t="s">
        <v>313</v>
      </c>
      <c r="H4" s="4" t="s">
        <v>930</v>
      </c>
      <c r="I4" s="4" t="s">
        <v>931</v>
      </c>
      <c r="J4" s="4" t="s">
        <v>314</v>
      </c>
      <c r="K4" s="4" t="s">
        <v>932</v>
      </c>
      <c r="L4" s="4" t="s">
        <v>655</v>
      </c>
      <c r="M4" s="4" t="s">
        <v>933</v>
      </c>
      <c r="N4" s="4" t="s">
        <v>934</v>
      </c>
    </row>
    <row r="5" customFormat="false" ht="15" hidden="false" customHeight="true" outlineLevel="0" collapsed="false">
      <c r="A5" s="32" t="n">
        <v>1</v>
      </c>
      <c r="B5" s="7" t="s">
        <v>935</v>
      </c>
      <c r="C5" s="7" t="s">
        <v>936</v>
      </c>
      <c r="D5" s="7" t="s">
        <v>937</v>
      </c>
      <c r="E5" s="7" t="s">
        <v>938</v>
      </c>
      <c r="F5" s="30" t="n">
        <v>2</v>
      </c>
      <c r="G5" s="7" t="s">
        <v>330</v>
      </c>
      <c r="H5" s="67" t="n">
        <v>12405.67</v>
      </c>
      <c r="I5" s="7" t="s">
        <v>471</v>
      </c>
      <c r="J5" s="32" t="n">
        <f aca="false">F5*H5*IF(G5="USD",Supuestos!$B$6,1)*IF(I5="Sí",1+Supuestos!$B$18,1)</f>
        <v>87717247.246728</v>
      </c>
      <c r="K5" s="7" t="s">
        <v>939</v>
      </c>
      <c r="L5" s="7" t="s">
        <v>940</v>
      </c>
      <c r="M5" s="7" t="s">
        <v>941</v>
      </c>
      <c r="N5" s="7" t="s">
        <v>942</v>
      </c>
    </row>
    <row r="6" customFormat="false" ht="23.25" hidden="false" customHeight="true" outlineLevel="0" collapsed="false">
      <c r="A6" s="32" t="n">
        <v>2</v>
      </c>
      <c r="B6" s="7" t="s">
        <v>935</v>
      </c>
      <c r="C6" s="7" t="s">
        <v>936</v>
      </c>
      <c r="D6" s="7" t="s">
        <v>943</v>
      </c>
      <c r="E6" s="7" t="s">
        <v>944</v>
      </c>
      <c r="F6" s="30" t="n">
        <v>3</v>
      </c>
      <c r="G6" s="7" t="s">
        <v>330</v>
      </c>
      <c r="H6" s="67" t="n">
        <v>4869.52</v>
      </c>
      <c r="I6" s="7" t="s">
        <v>471</v>
      </c>
      <c r="J6" s="32" t="n">
        <f aca="false">F6*H6*IF(G6="USD",Supuestos!$B$6,1)*IF(I6="Sí",1+Supuestos!$B$18,1)</f>
        <v>51646653.080352</v>
      </c>
      <c r="K6" s="7" t="s">
        <v>945</v>
      </c>
      <c r="L6" s="7" t="s">
        <v>946</v>
      </c>
      <c r="M6" s="7" t="s">
        <v>941</v>
      </c>
      <c r="N6" s="7" t="s">
        <v>942</v>
      </c>
    </row>
    <row r="7" customFormat="false" ht="23.25" hidden="false" customHeight="true" outlineLevel="0" collapsed="false">
      <c r="A7" s="32" t="n">
        <v>3</v>
      </c>
      <c r="B7" s="7" t="s">
        <v>935</v>
      </c>
      <c r="C7" s="7" t="s">
        <v>936</v>
      </c>
      <c r="D7" s="7" t="s">
        <v>947</v>
      </c>
      <c r="E7" s="7" t="s">
        <v>948</v>
      </c>
      <c r="F7" s="30" t="n">
        <v>13</v>
      </c>
      <c r="G7" s="7" t="s">
        <v>330</v>
      </c>
      <c r="H7" s="67" t="n">
        <v>522.52</v>
      </c>
      <c r="I7" s="7" t="s">
        <v>471</v>
      </c>
      <c r="J7" s="32" t="n">
        <f aca="false">F7*H7*IF(G7="USD",Supuestos!$B$6,1)*IF(I7="Sí",1+Supuestos!$B$18,1)</f>
        <v>24014914.486992</v>
      </c>
      <c r="K7" s="7" t="s">
        <v>945</v>
      </c>
      <c r="L7" s="7" t="s">
        <v>949</v>
      </c>
      <c r="M7" s="7" t="s">
        <v>941</v>
      </c>
      <c r="N7" s="7" t="s">
        <v>942</v>
      </c>
    </row>
    <row r="8" customFormat="false" ht="15" hidden="false" customHeight="true" outlineLevel="0" collapsed="false">
      <c r="A8" s="32" t="n">
        <v>4</v>
      </c>
      <c r="B8" s="7" t="s">
        <v>935</v>
      </c>
      <c r="C8" s="7" t="s">
        <v>936</v>
      </c>
      <c r="D8" s="7" t="s">
        <v>950</v>
      </c>
      <c r="E8" s="7" t="s">
        <v>951</v>
      </c>
      <c r="F8" s="30" t="n">
        <v>5</v>
      </c>
      <c r="G8" s="7" t="s">
        <v>330</v>
      </c>
      <c r="H8" s="67" t="n">
        <v>1045.59</v>
      </c>
      <c r="I8" s="7" t="s">
        <v>471</v>
      </c>
      <c r="J8" s="32" t="n">
        <f aca="false">F8*H8*IF(G8="USD",Supuestos!$B$6,1)*IF(I8="Sí",1+Supuestos!$B$18,1)</f>
        <v>18482733.40914</v>
      </c>
      <c r="K8" s="7" t="s">
        <v>945</v>
      </c>
      <c r="L8" s="7" t="s">
        <v>952</v>
      </c>
      <c r="M8" s="7" t="s">
        <v>941</v>
      </c>
      <c r="N8" s="7" t="s">
        <v>942</v>
      </c>
    </row>
    <row r="9" customFormat="false" ht="15" hidden="false" customHeight="true" outlineLevel="0" collapsed="false">
      <c r="A9" s="32" t="n">
        <v>5</v>
      </c>
      <c r="B9" s="7" t="s">
        <v>935</v>
      </c>
      <c r="C9" s="7" t="s">
        <v>936</v>
      </c>
      <c r="D9" s="7" t="s">
        <v>953</v>
      </c>
      <c r="E9" s="7" t="s">
        <v>951</v>
      </c>
      <c r="F9" s="30" t="n">
        <v>5</v>
      </c>
      <c r="G9" s="7" t="s">
        <v>330</v>
      </c>
      <c r="H9" s="67" t="n">
        <v>3645.04</v>
      </c>
      <c r="I9" s="7" t="s">
        <v>471</v>
      </c>
      <c r="J9" s="32" t="n">
        <f aca="false">F9*H9*IF(G9="USD",Supuestos!$B$6,1)*IF(I9="Sí",1+Supuestos!$B$18,1)</f>
        <v>64432810.74384</v>
      </c>
      <c r="K9" s="7" t="s">
        <v>945</v>
      </c>
      <c r="L9" s="7" t="s">
        <v>954</v>
      </c>
      <c r="M9" s="7" t="s">
        <v>941</v>
      </c>
      <c r="N9" s="7" t="s">
        <v>942</v>
      </c>
    </row>
    <row r="10" customFormat="false" ht="15" hidden="false" customHeight="true" outlineLevel="0" collapsed="false">
      <c r="A10" s="32" t="n">
        <v>6</v>
      </c>
      <c r="B10" s="7" t="s">
        <v>935</v>
      </c>
      <c r="C10" s="7" t="s">
        <v>936</v>
      </c>
      <c r="D10" s="7" t="s">
        <v>955</v>
      </c>
      <c r="E10" s="7" t="s">
        <v>956</v>
      </c>
      <c r="F10" s="30" t="n">
        <v>1</v>
      </c>
      <c r="G10" s="7" t="s">
        <v>330</v>
      </c>
      <c r="H10" s="67" t="n">
        <v>2658.12</v>
      </c>
      <c r="I10" s="7" t="s">
        <v>471</v>
      </c>
      <c r="J10" s="32" t="n">
        <f aca="false">F10*H10*IF(G10="USD",Supuestos!$B$6,1)*IF(I10="Sí",1+Supuestos!$B$18,1)</f>
        <v>9397435.577904</v>
      </c>
      <c r="K10" s="7" t="s">
        <v>945</v>
      </c>
      <c r="L10" s="7" t="s">
        <v>957</v>
      </c>
      <c r="M10" s="7" t="s">
        <v>941</v>
      </c>
      <c r="N10" s="7" t="s">
        <v>942</v>
      </c>
    </row>
    <row r="11" customFormat="false" ht="15" hidden="false" customHeight="true" outlineLevel="0" collapsed="false">
      <c r="A11" s="32" t="n">
        <v>7</v>
      </c>
      <c r="B11" s="7" t="s">
        <v>935</v>
      </c>
      <c r="C11" s="7" t="s">
        <v>936</v>
      </c>
      <c r="D11" s="7" t="s">
        <v>958</v>
      </c>
      <c r="E11" s="7" t="s">
        <v>956</v>
      </c>
      <c r="F11" s="30" t="n">
        <v>1</v>
      </c>
      <c r="G11" s="7" t="s">
        <v>330</v>
      </c>
      <c r="H11" s="67" t="n">
        <v>1200</v>
      </c>
      <c r="I11" s="7" t="s">
        <v>471</v>
      </c>
      <c r="J11" s="32" t="n">
        <f aca="false">F11*H11*IF(G11="USD",Supuestos!$B$6,1)*IF(I11="Sí",1+Supuestos!$B$18,1)</f>
        <v>4242443.04</v>
      </c>
      <c r="K11" s="7" t="s">
        <v>324</v>
      </c>
      <c r="L11" s="7" t="s">
        <v>959</v>
      </c>
      <c r="M11" s="7" t="s">
        <v>941</v>
      </c>
      <c r="N11" s="7" t="s">
        <v>942</v>
      </c>
    </row>
    <row r="12" customFormat="false" ht="15" hidden="false" customHeight="true" outlineLevel="0" collapsed="false">
      <c r="A12" s="32" t="n">
        <v>8</v>
      </c>
      <c r="B12" s="7" t="s">
        <v>935</v>
      </c>
      <c r="C12" s="7" t="s">
        <v>936</v>
      </c>
      <c r="D12" s="7" t="s">
        <v>960</v>
      </c>
      <c r="E12" s="7" t="s">
        <v>961</v>
      </c>
      <c r="F12" s="30" t="n">
        <v>3</v>
      </c>
      <c r="G12" s="7" t="s">
        <v>330</v>
      </c>
      <c r="H12" s="67" t="n">
        <v>1936.25</v>
      </c>
      <c r="I12" s="7" t="s">
        <v>471</v>
      </c>
      <c r="J12" s="32" t="n">
        <f aca="false">F12*H12*IF(G12="USD",Supuestos!$B$6,1)*IF(I12="Sí",1+Supuestos!$B$18,1)</f>
        <v>20536075.8405</v>
      </c>
      <c r="K12" s="7" t="s">
        <v>945</v>
      </c>
      <c r="L12" s="7" t="s">
        <v>962</v>
      </c>
      <c r="M12" s="7" t="s">
        <v>941</v>
      </c>
      <c r="N12" s="7" t="s">
        <v>942</v>
      </c>
    </row>
    <row r="13" customFormat="false" ht="23.25" hidden="false" customHeight="true" outlineLevel="0" collapsed="false">
      <c r="A13" s="32" t="n">
        <v>9</v>
      </c>
      <c r="B13" s="7" t="s">
        <v>935</v>
      </c>
      <c r="C13" s="7" t="s">
        <v>936</v>
      </c>
      <c r="D13" s="7" t="s">
        <v>963</v>
      </c>
      <c r="E13" s="7" t="s">
        <v>964</v>
      </c>
      <c r="F13" s="30" t="n">
        <v>6</v>
      </c>
      <c r="G13" s="7" t="s">
        <v>330</v>
      </c>
      <c r="H13" s="67" t="n">
        <v>6000</v>
      </c>
      <c r="I13" s="7" t="s">
        <v>471</v>
      </c>
      <c r="J13" s="32" t="n">
        <f aca="false">F13*H13*IF(G13="USD",Supuestos!$B$6,1)*IF(I13="Sí",1+Supuestos!$B$18,1)</f>
        <v>127273291.2</v>
      </c>
      <c r="K13" s="7" t="s">
        <v>324</v>
      </c>
      <c r="L13" s="7" t="s">
        <v>959</v>
      </c>
      <c r="M13" s="7" t="s">
        <v>941</v>
      </c>
      <c r="N13" s="7" t="s">
        <v>942</v>
      </c>
    </row>
    <row r="14" customFormat="false" ht="15" hidden="false" customHeight="true" outlineLevel="0" collapsed="false">
      <c r="A14" s="32" t="n">
        <v>10</v>
      </c>
      <c r="B14" s="7" t="s">
        <v>935</v>
      </c>
      <c r="C14" s="7" t="s">
        <v>936</v>
      </c>
      <c r="D14" s="7" t="s">
        <v>965</v>
      </c>
      <c r="E14" s="7" t="s">
        <v>966</v>
      </c>
      <c r="F14" s="30" t="n">
        <v>2</v>
      </c>
      <c r="G14" s="7" t="s">
        <v>330</v>
      </c>
      <c r="H14" s="67" t="n">
        <v>1800</v>
      </c>
      <c r="I14" s="7" t="s">
        <v>471</v>
      </c>
      <c r="J14" s="32" t="n">
        <f aca="false">F14*H14*IF(G14="USD",Supuestos!$B$6,1)*IF(I14="Sí",1+Supuestos!$B$18,1)</f>
        <v>12727329.12</v>
      </c>
      <c r="K14" s="7" t="s">
        <v>324</v>
      </c>
      <c r="L14" s="7" t="s">
        <v>959</v>
      </c>
      <c r="M14" s="7" t="s">
        <v>941</v>
      </c>
      <c r="N14" s="7" t="s">
        <v>942</v>
      </c>
    </row>
    <row r="15" customFormat="false" ht="23.25" hidden="false" customHeight="true" outlineLevel="0" collapsed="false">
      <c r="A15" s="32" t="n">
        <v>11</v>
      </c>
      <c r="B15" s="7" t="s">
        <v>935</v>
      </c>
      <c r="C15" s="7" t="s">
        <v>936</v>
      </c>
      <c r="D15" s="7" t="s">
        <v>967</v>
      </c>
      <c r="E15" s="7" t="s">
        <v>968</v>
      </c>
      <c r="F15" s="30" t="n">
        <v>1</v>
      </c>
      <c r="G15" s="7" t="s">
        <v>330</v>
      </c>
      <c r="H15" s="67" t="n">
        <v>45000</v>
      </c>
      <c r="I15" s="7" t="s">
        <v>471</v>
      </c>
      <c r="J15" s="32" t="n">
        <f aca="false">F15*H15*IF(G15="USD",Supuestos!$B$6,1)*IF(I15="Sí",1+Supuestos!$B$18,1)</f>
        <v>159091614</v>
      </c>
      <c r="K15" s="7" t="s">
        <v>324</v>
      </c>
      <c r="L15" s="7" t="s">
        <v>969</v>
      </c>
      <c r="M15" s="7" t="s">
        <v>970</v>
      </c>
      <c r="N15" s="7" t="s">
        <v>942</v>
      </c>
    </row>
    <row r="16" customFormat="false" ht="15" hidden="false" customHeight="true" outlineLevel="0" collapsed="false">
      <c r="A16" s="32" t="n">
        <v>12</v>
      </c>
      <c r="B16" s="7" t="s">
        <v>935</v>
      </c>
      <c r="C16" s="7" t="s">
        <v>936</v>
      </c>
      <c r="D16" s="7" t="s">
        <v>971</v>
      </c>
      <c r="E16" s="7" t="s">
        <v>972</v>
      </c>
      <c r="F16" s="30" t="n">
        <v>4</v>
      </c>
      <c r="G16" s="7" t="s">
        <v>330</v>
      </c>
      <c r="H16" s="67" t="n">
        <v>600</v>
      </c>
      <c r="I16" s="7" t="s">
        <v>471</v>
      </c>
      <c r="J16" s="32" t="n">
        <f aca="false">F16*H16*IF(G16="USD",Supuestos!$B$6,1)*IF(I16="Sí",1+Supuestos!$B$18,1)</f>
        <v>8484886.08</v>
      </c>
      <c r="K16" s="7" t="s">
        <v>324</v>
      </c>
      <c r="L16" s="7" t="s">
        <v>959</v>
      </c>
      <c r="M16" s="7" t="s">
        <v>941</v>
      </c>
      <c r="N16" s="7" t="s">
        <v>942</v>
      </c>
    </row>
    <row r="17" customFormat="false" ht="15" hidden="false" customHeight="true" outlineLevel="0" collapsed="false">
      <c r="A17" s="32" t="n">
        <v>13</v>
      </c>
      <c r="B17" s="7" t="s">
        <v>973</v>
      </c>
      <c r="C17" s="7" t="s">
        <v>936</v>
      </c>
      <c r="D17" s="7" t="s">
        <v>974</v>
      </c>
      <c r="E17" s="7" t="s">
        <v>975</v>
      </c>
      <c r="F17" s="30" t="n">
        <v>2</v>
      </c>
      <c r="G17" s="7" t="s">
        <v>330</v>
      </c>
      <c r="H17" s="67" t="n">
        <v>25000</v>
      </c>
      <c r="I17" s="7" t="s">
        <v>471</v>
      </c>
      <c r="J17" s="32" t="n">
        <f aca="false">F17*H17*IF(G17="USD",Supuestos!$B$6,1)*IF(I17="Sí",1+Supuestos!$B$18,1)</f>
        <v>176768460</v>
      </c>
      <c r="K17" s="7" t="s">
        <v>324</v>
      </c>
      <c r="L17" s="7" t="s">
        <v>959</v>
      </c>
      <c r="M17" s="7" t="s">
        <v>973</v>
      </c>
      <c r="N17" s="7" t="s">
        <v>942</v>
      </c>
    </row>
    <row r="18" customFormat="false" ht="15" hidden="false" customHeight="true" outlineLevel="0" collapsed="false">
      <c r="A18" s="32" t="n">
        <v>14</v>
      </c>
      <c r="B18" s="7" t="s">
        <v>973</v>
      </c>
      <c r="C18" s="7" t="s">
        <v>936</v>
      </c>
      <c r="D18" s="7" t="s">
        <v>976</v>
      </c>
      <c r="E18" s="7" t="s">
        <v>977</v>
      </c>
      <c r="F18" s="30" t="n">
        <v>2</v>
      </c>
      <c r="G18" s="7" t="s">
        <v>330</v>
      </c>
      <c r="H18" s="67" t="n">
        <v>18000</v>
      </c>
      <c r="I18" s="7" t="s">
        <v>471</v>
      </c>
      <c r="J18" s="32" t="n">
        <f aca="false">F18*H18*IF(G18="USD",Supuestos!$B$6,1)*IF(I18="Sí",1+Supuestos!$B$18,1)</f>
        <v>127273291.2</v>
      </c>
      <c r="K18" s="7" t="s">
        <v>324</v>
      </c>
      <c r="L18" s="7" t="s">
        <v>959</v>
      </c>
      <c r="M18" s="7" t="s">
        <v>973</v>
      </c>
      <c r="N18" s="7" t="s">
        <v>942</v>
      </c>
    </row>
    <row r="19" customFormat="false" ht="15" hidden="false" customHeight="true" outlineLevel="0" collapsed="false">
      <c r="A19" s="32" t="n">
        <v>15</v>
      </c>
      <c r="B19" s="7" t="s">
        <v>973</v>
      </c>
      <c r="C19" s="7" t="s">
        <v>936</v>
      </c>
      <c r="D19" s="7" t="s">
        <v>978</v>
      </c>
      <c r="E19" s="7" t="s">
        <v>979</v>
      </c>
      <c r="F19" s="30" t="n">
        <v>2</v>
      </c>
      <c r="G19" s="7" t="s">
        <v>330</v>
      </c>
      <c r="H19" s="67" t="n">
        <v>15000</v>
      </c>
      <c r="I19" s="7" t="s">
        <v>471</v>
      </c>
      <c r="J19" s="32" t="n">
        <f aca="false">F19*H19*IF(G19="USD",Supuestos!$B$6,1)*IF(I19="Sí",1+Supuestos!$B$18,1)</f>
        <v>106061076</v>
      </c>
      <c r="K19" s="7" t="s">
        <v>324</v>
      </c>
      <c r="L19" s="7" t="s">
        <v>959</v>
      </c>
      <c r="M19" s="7" t="s">
        <v>973</v>
      </c>
      <c r="N19" s="7" t="s">
        <v>942</v>
      </c>
    </row>
    <row r="20" customFormat="false" ht="23.25" hidden="false" customHeight="true" outlineLevel="0" collapsed="false">
      <c r="A20" s="32" t="n">
        <v>16</v>
      </c>
      <c r="B20" s="7" t="s">
        <v>980</v>
      </c>
      <c r="C20" s="7" t="s">
        <v>936</v>
      </c>
      <c r="D20" s="7" t="s">
        <v>981</v>
      </c>
      <c r="E20" s="7" t="s">
        <v>982</v>
      </c>
      <c r="F20" s="30" t="n">
        <v>24</v>
      </c>
      <c r="G20" s="7" t="s">
        <v>330</v>
      </c>
      <c r="H20" s="67" t="n">
        <v>4500</v>
      </c>
      <c r="I20" s="7" t="s">
        <v>471</v>
      </c>
      <c r="J20" s="32" t="n">
        <f aca="false">F20*H20*IF(G20="USD",Supuestos!$B$6,1)*IF(I20="Sí",1+Supuestos!$B$18,1)</f>
        <v>381819873.6</v>
      </c>
      <c r="K20" s="7" t="s">
        <v>324</v>
      </c>
      <c r="L20" s="7" t="s">
        <v>983</v>
      </c>
      <c r="M20" s="7" t="s">
        <v>984</v>
      </c>
      <c r="N20" s="7" t="s">
        <v>942</v>
      </c>
    </row>
    <row r="21" customFormat="false" ht="15" hidden="false" customHeight="true" outlineLevel="0" collapsed="false">
      <c r="A21" s="32" t="n">
        <v>17</v>
      </c>
      <c r="B21" s="7" t="s">
        <v>980</v>
      </c>
      <c r="C21" s="7" t="s">
        <v>936</v>
      </c>
      <c r="D21" s="7" t="s">
        <v>985</v>
      </c>
      <c r="E21" s="7" t="s">
        <v>986</v>
      </c>
      <c r="F21" s="30" t="n">
        <v>13</v>
      </c>
      <c r="G21" s="7" t="s">
        <v>330</v>
      </c>
      <c r="H21" s="67" t="n">
        <v>3500</v>
      </c>
      <c r="I21" s="7" t="s">
        <v>471</v>
      </c>
      <c r="J21" s="32" t="n">
        <f aca="false">F21*H21*IF(G21="USD",Supuestos!$B$6,1)*IF(I21="Sí",1+Supuestos!$B$18,1)</f>
        <v>160859298.6</v>
      </c>
      <c r="K21" s="7" t="s">
        <v>324</v>
      </c>
      <c r="L21" s="7" t="s">
        <v>959</v>
      </c>
      <c r="M21" s="7" t="s">
        <v>984</v>
      </c>
      <c r="N21" s="7" t="s">
        <v>942</v>
      </c>
    </row>
    <row r="22" customFormat="false" ht="15" hidden="false" customHeight="true" outlineLevel="0" collapsed="false">
      <c r="A22" s="32" t="n">
        <v>18</v>
      </c>
      <c r="B22" s="7" t="s">
        <v>980</v>
      </c>
      <c r="C22" s="7" t="s">
        <v>936</v>
      </c>
      <c r="D22" s="7" t="s">
        <v>987</v>
      </c>
      <c r="E22" s="7" t="s">
        <v>988</v>
      </c>
      <c r="F22" s="30" t="n">
        <v>1</v>
      </c>
      <c r="G22" s="7" t="s">
        <v>330</v>
      </c>
      <c r="H22" s="67" t="n">
        <v>6000</v>
      </c>
      <c r="I22" s="7" t="s">
        <v>471</v>
      </c>
      <c r="J22" s="32" t="n">
        <f aca="false">F22*H22*IF(G22="USD",Supuestos!$B$6,1)*IF(I22="Sí",1+Supuestos!$B$18,1)</f>
        <v>21212215.2</v>
      </c>
      <c r="K22" s="7" t="s">
        <v>324</v>
      </c>
      <c r="L22" s="7" t="s">
        <v>959</v>
      </c>
      <c r="M22" s="7" t="s">
        <v>984</v>
      </c>
      <c r="N22" s="7" t="s">
        <v>942</v>
      </c>
    </row>
    <row r="23" customFormat="false" ht="15" hidden="false" customHeight="true" outlineLevel="0" collapsed="false">
      <c r="A23" s="32" t="n">
        <v>19</v>
      </c>
      <c r="B23" s="7" t="s">
        <v>980</v>
      </c>
      <c r="C23" s="7" t="s">
        <v>936</v>
      </c>
      <c r="D23" s="7" t="s">
        <v>989</v>
      </c>
      <c r="E23" s="7" t="s">
        <v>990</v>
      </c>
      <c r="F23" s="30" t="n">
        <v>12</v>
      </c>
      <c r="G23" s="7" t="s">
        <v>330</v>
      </c>
      <c r="H23" s="67" t="n">
        <v>2500</v>
      </c>
      <c r="I23" s="7" t="s">
        <v>471</v>
      </c>
      <c r="J23" s="32" t="n">
        <f aca="false">F23*H23*IF(G23="USD",Supuestos!$B$6,1)*IF(I23="Sí",1+Supuestos!$B$18,1)</f>
        <v>106061076</v>
      </c>
      <c r="K23" s="7" t="s">
        <v>324</v>
      </c>
      <c r="L23" s="7" t="s">
        <v>959</v>
      </c>
      <c r="M23" s="7" t="s">
        <v>984</v>
      </c>
      <c r="N23" s="7" t="s">
        <v>942</v>
      </c>
    </row>
    <row r="24" customFormat="false" ht="23.25" hidden="false" customHeight="true" outlineLevel="0" collapsed="false">
      <c r="A24" s="32" t="n">
        <v>20</v>
      </c>
      <c r="B24" s="7" t="s">
        <v>991</v>
      </c>
      <c r="C24" s="7" t="s">
        <v>992</v>
      </c>
      <c r="D24" s="7" t="s">
        <v>993</v>
      </c>
      <c r="E24" s="7" t="s">
        <v>994</v>
      </c>
      <c r="F24" s="30" t="n">
        <v>1</v>
      </c>
      <c r="G24" s="7" t="s">
        <v>330</v>
      </c>
      <c r="H24" s="67" t="n">
        <v>20000</v>
      </c>
      <c r="I24" s="7" t="s">
        <v>471</v>
      </c>
      <c r="J24" s="32" t="n">
        <f aca="false">F24*H24*IF(G24="USD",Supuestos!$B$6,1)*IF(I24="Sí",1+Supuestos!$B$18,1)</f>
        <v>70707384</v>
      </c>
      <c r="K24" s="7" t="s">
        <v>324</v>
      </c>
      <c r="L24" s="7" t="s">
        <v>995</v>
      </c>
      <c r="M24" s="7" t="s">
        <v>996</v>
      </c>
      <c r="N24" s="7" t="s">
        <v>942</v>
      </c>
    </row>
    <row r="25" customFormat="false" ht="15" hidden="false" customHeight="true" outlineLevel="0" collapsed="false">
      <c r="A25" s="32" t="n">
        <v>21</v>
      </c>
      <c r="B25" s="7" t="s">
        <v>991</v>
      </c>
      <c r="C25" s="7" t="s">
        <v>992</v>
      </c>
      <c r="D25" s="7" t="s">
        <v>997</v>
      </c>
      <c r="E25" s="7" t="s">
        <v>998</v>
      </c>
      <c r="F25" s="30" t="n">
        <v>1</v>
      </c>
      <c r="G25" s="7" t="s">
        <v>330</v>
      </c>
      <c r="H25" s="67" t="n">
        <v>15000</v>
      </c>
      <c r="I25" s="7" t="s">
        <v>471</v>
      </c>
      <c r="J25" s="32" t="n">
        <f aca="false">F25*H25*IF(G25="USD",Supuestos!$B$6,1)*IF(I25="Sí",1+Supuestos!$B$18,1)</f>
        <v>53030538</v>
      </c>
      <c r="K25" s="7" t="s">
        <v>324</v>
      </c>
      <c r="L25" s="7" t="s">
        <v>959</v>
      </c>
      <c r="M25" s="7" t="s">
        <v>996</v>
      </c>
      <c r="N25" s="7" t="s">
        <v>942</v>
      </c>
    </row>
    <row r="26" customFormat="false" ht="15" hidden="false" customHeight="true" outlineLevel="0" collapsed="false">
      <c r="A26" s="32" t="n">
        <v>22</v>
      </c>
      <c r="B26" s="7" t="s">
        <v>991</v>
      </c>
      <c r="C26" s="7" t="s">
        <v>992</v>
      </c>
      <c r="D26" s="7" t="s">
        <v>999</v>
      </c>
      <c r="E26" s="7" t="s">
        <v>1000</v>
      </c>
      <c r="F26" s="30" t="n">
        <v>1</v>
      </c>
      <c r="G26" s="7" t="s">
        <v>330</v>
      </c>
      <c r="H26" s="67" t="n">
        <v>40000</v>
      </c>
      <c r="I26" s="7" t="s">
        <v>471</v>
      </c>
      <c r="J26" s="32" t="n">
        <f aca="false">F26*H26*IF(G26="USD",Supuestos!$B$6,1)*IF(I26="Sí",1+Supuestos!$B$18,1)</f>
        <v>141414768</v>
      </c>
      <c r="K26" s="7" t="s">
        <v>324</v>
      </c>
      <c r="L26" s="7" t="s">
        <v>959</v>
      </c>
      <c r="M26" s="7" t="s">
        <v>996</v>
      </c>
      <c r="N26" s="7" t="s">
        <v>942</v>
      </c>
    </row>
    <row r="27" customFormat="false" ht="15" hidden="false" customHeight="true" outlineLevel="0" collapsed="false">
      <c r="A27" s="32" t="n">
        <v>23</v>
      </c>
      <c r="B27" s="7" t="s">
        <v>1001</v>
      </c>
      <c r="C27" s="7" t="s">
        <v>992</v>
      </c>
      <c r="D27" s="7" t="s">
        <v>1002</v>
      </c>
      <c r="E27" s="7" t="s">
        <v>1003</v>
      </c>
      <c r="F27" s="30" t="n">
        <v>2</v>
      </c>
      <c r="G27" s="7" t="s">
        <v>330</v>
      </c>
      <c r="H27" s="67" t="n">
        <v>15000</v>
      </c>
      <c r="I27" s="7" t="s">
        <v>471</v>
      </c>
      <c r="J27" s="32" t="n">
        <f aca="false">F27*H27*IF(G27="USD",Supuestos!$B$6,1)*IF(I27="Sí",1+Supuestos!$B$18,1)</f>
        <v>106061076</v>
      </c>
      <c r="K27" s="7" t="s">
        <v>324</v>
      </c>
      <c r="L27" s="7" t="s">
        <v>959</v>
      </c>
      <c r="M27" s="7" t="s">
        <v>1004</v>
      </c>
      <c r="N27" s="7" t="s">
        <v>1005</v>
      </c>
    </row>
    <row r="28" customFormat="false" ht="15" hidden="false" customHeight="true" outlineLevel="0" collapsed="false">
      <c r="A28" s="32" t="n">
        <v>24</v>
      </c>
      <c r="B28" s="7" t="s">
        <v>1001</v>
      </c>
      <c r="C28" s="7" t="s">
        <v>992</v>
      </c>
      <c r="D28" s="7" t="s">
        <v>1006</v>
      </c>
      <c r="E28" s="7" t="s">
        <v>1007</v>
      </c>
      <c r="F28" s="30" t="n">
        <v>12</v>
      </c>
      <c r="G28" s="7" t="s">
        <v>330</v>
      </c>
      <c r="H28" s="67" t="n">
        <v>2500</v>
      </c>
      <c r="I28" s="7" t="s">
        <v>471</v>
      </c>
      <c r="J28" s="32" t="n">
        <f aca="false">F28*H28*IF(G28="USD",Supuestos!$B$6,1)*IF(I28="Sí",1+Supuestos!$B$18,1)</f>
        <v>106061076</v>
      </c>
      <c r="K28" s="7" t="s">
        <v>324</v>
      </c>
      <c r="L28" s="7" t="s">
        <v>959</v>
      </c>
      <c r="M28" s="7" t="s">
        <v>1004</v>
      </c>
      <c r="N28" s="7" t="s">
        <v>1005</v>
      </c>
    </row>
    <row r="29" customFormat="false" ht="15" hidden="false" customHeight="true" outlineLevel="0" collapsed="false">
      <c r="A29" s="32" t="n">
        <v>25</v>
      </c>
      <c r="B29" s="7" t="s">
        <v>1001</v>
      </c>
      <c r="C29" s="7" t="s">
        <v>992</v>
      </c>
      <c r="D29" s="7" t="s">
        <v>1008</v>
      </c>
      <c r="E29" s="7" t="s">
        <v>1009</v>
      </c>
      <c r="F29" s="30" t="n">
        <v>1</v>
      </c>
      <c r="G29" s="7" t="s">
        <v>330</v>
      </c>
      <c r="H29" s="67" t="n">
        <v>15000</v>
      </c>
      <c r="I29" s="7" t="s">
        <v>471</v>
      </c>
      <c r="J29" s="32" t="n">
        <f aca="false">F29*H29*IF(G29="USD",Supuestos!$B$6,1)*IF(I29="Sí",1+Supuestos!$B$18,1)</f>
        <v>53030538</v>
      </c>
      <c r="K29" s="7" t="s">
        <v>324</v>
      </c>
      <c r="L29" s="7" t="s">
        <v>959</v>
      </c>
      <c r="M29" s="7" t="s">
        <v>1004</v>
      </c>
      <c r="N29" s="7" t="s">
        <v>1005</v>
      </c>
    </row>
    <row r="30" customFormat="false" ht="15" hidden="false" customHeight="true" outlineLevel="0" collapsed="false">
      <c r="A30" s="32" t="n">
        <v>26</v>
      </c>
      <c r="B30" s="7" t="s">
        <v>1001</v>
      </c>
      <c r="C30" s="7" t="s">
        <v>992</v>
      </c>
      <c r="D30" s="7" t="s">
        <v>1010</v>
      </c>
      <c r="E30" s="7" t="s">
        <v>1011</v>
      </c>
      <c r="F30" s="30" t="n">
        <v>6</v>
      </c>
      <c r="G30" s="7" t="s">
        <v>330</v>
      </c>
      <c r="H30" s="67" t="n">
        <v>4000</v>
      </c>
      <c r="I30" s="7" t="s">
        <v>471</v>
      </c>
      <c r="J30" s="32" t="n">
        <f aca="false">F30*H30*IF(G30="USD",Supuestos!$B$6,1)*IF(I30="Sí",1+Supuestos!$B$18,1)</f>
        <v>84848860.8</v>
      </c>
      <c r="K30" s="7" t="s">
        <v>324</v>
      </c>
      <c r="L30" s="7" t="s">
        <v>959</v>
      </c>
      <c r="M30" s="7" t="s">
        <v>1004</v>
      </c>
      <c r="N30" s="7" t="s">
        <v>1005</v>
      </c>
    </row>
    <row r="31" customFormat="false" ht="15" hidden="false" customHeight="true" outlineLevel="0" collapsed="false">
      <c r="A31" s="32" t="n">
        <v>27</v>
      </c>
      <c r="B31" s="7" t="s">
        <v>1001</v>
      </c>
      <c r="C31" s="7" t="s">
        <v>992</v>
      </c>
      <c r="D31" s="7" t="s">
        <v>1012</v>
      </c>
      <c r="E31" s="7" t="s">
        <v>1013</v>
      </c>
      <c r="F31" s="30" t="n">
        <v>1</v>
      </c>
      <c r="G31" s="7" t="s">
        <v>330</v>
      </c>
      <c r="H31" s="67" t="n">
        <v>8000</v>
      </c>
      <c r="I31" s="7" t="s">
        <v>471</v>
      </c>
      <c r="J31" s="32" t="n">
        <f aca="false">F31*H31*IF(G31="USD",Supuestos!$B$6,1)*IF(I31="Sí",1+Supuestos!$B$18,1)</f>
        <v>28282953.6</v>
      </c>
      <c r="K31" s="7" t="s">
        <v>324</v>
      </c>
      <c r="L31" s="7" t="s">
        <v>959</v>
      </c>
      <c r="M31" s="7" t="s">
        <v>1004</v>
      </c>
      <c r="N31" s="7" t="s">
        <v>1005</v>
      </c>
    </row>
    <row r="32" customFormat="false" ht="34.5" hidden="false" customHeight="true" outlineLevel="0" collapsed="false">
      <c r="A32" s="32" t="n">
        <v>28</v>
      </c>
      <c r="B32" s="7" t="s">
        <v>1001</v>
      </c>
      <c r="C32" s="7" t="s">
        <v>992</v>
      </c>
      <c r="D32" s="7" t="s">
        <v>1014</v>
      </c>
      <c r="E32" s="7" t="s">
        <v>1009</v>
      </c>
      <c r="F32" s="30" t="n">
        <v>1</v>
      </c>
      <c r="G32" s="7" t="s">
        <v>330</v>
      </c>
      <c r="H32" s="67" t="n">
        <v>12000</v>
      </c>
      <c r="I32" s="7" t="s">
        <v>471</v>
      </c>
      <c r="J32" s="32" t="n">
        <f aca="false">F32*H32*IF(G32="USD",Supuestos!$B$6,1)*IF(I32="Sí",1+Supuestos!$B$18,1)</f>
        <v>42424430.4</v>
      </c>
      <c r="K32" s="7" t="s">
        <v>324</v>
      </c>
      <c r="L32" s="7" t="s">
        <v>1015</v>
      </c>
      <c r="M32" s="7" t="s">
        <v>1004</v>
      </c>
      <c r="N32" s="7" t="s">
        <v>1005</v>
      </c>
    </row>
    <row r="33" customFormat="false" ht="34.5" hidden="false" customHeight="true" outlineLevel="0" collapsed="false">
      <c r="A33" s="32" t="n">
        <v>29</v>
      </c>
      <c r="B33" s="7" t="s">
        <v>1001</v>
      </c>
      <c r="C33" s="7" t="s">
        <v>992</v>
      </c>
      <c r="D33" s="7" t="s">
        <v>1016</v>
      </c>
      <c r="E33" s="7" t="s">
        <v>1017</v>
      </c>
      <c r="F33" s="30" t="n">
        <v>1</v>
      </c>
      <c r="G33" s="7" t="s">
        <v>330</v>
      </c>
      <c r="H33" s="67" t="n">
        <v>7500</v>
      </c>
      <c r="I33" s="7" t="s">
        <v>471</v>
      </c>
      <c r="J33" s="32" t="n">
        <f aca="false">F33*H33*IF(G33="USD",Supuestos!$B$6,1)*IF(I33="Sí",1+Supuestos!$B$18,1)</f>
        <v>26515269</v>
      </c>
      <c r="K33" s="7" t="s">
        <v>324</v>
      </c>
      <c r="L33" s="7" t="s">
        <v>1018</v>
      </c>
      <c r="M33" s="7" t="s">
        <v>1004</v>
      </c>
      <c r="N33" s="7" t="s">
        <v>1005</v>
      </c>
    </row>
    <row r="34" customFormat="false" ht="23.25" hidden="false" customHeight="true" outlineLevel="0" collapsed="false">
      <c r="A34" s="32" t="n">
        <v>30</v>
      </c>
      <c r="B34" s="7" t="s">
        <v>1019</v>
      </c>
      <c r="C34" s="7" t="s">
        <v>1020</v>
      </c>
      <c r="D34" s="7" t="s">
        <v>1021</v>
      </c>
      <c r="E34" s="7" t="s">
        <v>1022</v>
      </c>
      <c r="F34" s="30" t="n">
        <v>2</v>
      </c>
      <c r="G34" s="7" t="s">
        <v>330</v>
      </c>
      <c r="H34" s="67" t="n">
        <v>45000</v>
      </c>
      <c r="I34" s="7" t="s">
        <v>471</v>
      </c>
      <c r="J34" s="32" t="n">
        <f aca="false">F34*H34*IF(G34="USD",Supuestos!$B$6,1)*IF(I34="Sí",1+Supuestos!$B$18,1)</f>
        <v>318183228</v>
      </c>
      <c r="K34" s="7" t="s">
        <v>939</v>
      </c>
      <c r="L34" s="7" t="s">
        <v>1023</v>
      </c>
      <c r="M34" s="7" t="s">
        <v>1024</v>
      </c>
      <c r="N34" s="7" t="s">
        <v>942</v>
      </c>
    </row>
    <row r="35" customFormat="false" ht="23.25" hidden="false" customHeight="true" outlineLevel="0" collapsed="false">
      <c r="A35" s="32" t="n">
        <v>31</v>
      </c>
      <c r="B35" s="7" t="s">
        <v>1019</v>
      </c>
      <c r="C35" s="7" t="s">
        <v>1020</v>
      </c>
      <c r="D35" s="7" t="s">
        <v>1025</v>
      </c>
      <c r="E35" s="7" t="s">
        <v>1026</v>
      </c>
      <c r="F35" s="30" t="n">
        <v>1</v>
      </c>
      <c r="G35" s="7" t="s">
        <v>330</v>
      </c>
      <c r="H35" s="67" t="n">
        <v>85000</v>
      </c>
      <c r="I35" s="7" t="s">
        <v>471</v>
      </c>
      <c r="J35" s="32" t="n">
        <f aca="false">F35*H35*IF(G35="USD",Supuestos!$B$6,1)*IF(I35="Sí",1+Supuestos!$B$18,1)</f>
        <v>300506382</v>
      </c>
      <c r="K35" s="7" t="s">
        <v>939</v>
      </c>
      <c r="L35" s="7" t="s">
        <v>1027</v>
      </c>
      <c r="M35" s="7" t="s">
        <v>1024</v>
      </c>
      <c r="N35" s="7" t="s">
        <v>942</v>
      </c>
    </row>
    <row r="36" customFormat="false" ht="23.25" hidden="false" customHeight="true" outlineLevel="0" collapsed="false">
      <c r="A36" s="32" t="n">
        <v>32</v>
      </c>
      <c r="B36" s="7" t="s">
        <v>1019</v>
      </c>
      <c r="C36" s="7" t="s">
        <v>1020</v>
      </c>
      <c r="D36" s="7" t="s">
        <v>1028</v>
      </c>
      <c r="E36" s="7" t="s">
        <v>1026</v>
      </c>
      <c r="F36" s="30" t="n">
        <v>1</v>
      </c>
      <c r="G36" s="7" t="s">
        <v>330</v>
      </c>
      <c r="H36" s="67" t="n">
        <v>20000</v>
      </c>
      <c r="I36" s="7" t="s">
        <v>471</v>
      </c>
      <c r="J36" s="32" t="n">
        <f aca="false">F36*H36*IF(G36="USD",Supuestos!$B$6,1)*IF(I36="Sí",1+Supuestos!$B$18,1)</f>
        <v>70707384</v>
      </c>
      <c r="K36" s="7" t="s">
        <v>939</v>
      </c>
      <c r="L36" s="7" t="s">
        <v>1029</v>
      </c>
      <c r="M36" s="7" t="s">
        <v>1024</v>
      </c>
      <c r="N36" s="7" t="s">
        <v>942</v>
      </c>
    </row>
    <row r="37" customFormat="false" ht="23.25" hidden="false" customHeight="true" outlineLevel="0" collapsed="false">
      <c r="A37" s="32" t="n">
        <v>33</v>
      </c>
      <c r="B37" s="7" t="s">
        <v>1019</v>
      </c>
      <c r="C37" s="7" t="s">
        <v>1020</v>
      </c>
      <c r="D37" s="7" t="s">
        <v>1030</v>
      </c>
      <c r="E37" s="7" t="s">
        <v>1022</v>
      </c>
      <c r="F37" s="30" t="n">
        <v>2</v>
      </c>
      <c r="G37" s="7" t="s">
        <v>330</v>
      </c>
      <c r="H37" s="67" t="n">
        <v>10000</v>
      </c>
      <c r="I37" s="7" t="s">
        <v>471</v>
      </c>
      <c r="J37" s="32" t="n">
        <f aca="false">F37*H37*IF(G37="USD",Supuestos!$B$6,1)*IF(I37="Sí",1+Supuestos!$B$18,1)</f>
        <v>70707384</v>
      </c>
      <c r="K37" s="7" t="s">
        <v>939</v>
      </c>
      <c r="L37" s="7" t="s">
        <v>1031</v>
      </c>
      <c r="M37" s="7" t="s">
        <v>1024</v>
      </c>
      <c r="N37" s="7" t="s">
        <v>942</v>
      </c>
    </row>
    <row r="38" customFormat="false" ht="15" hidden="false" customHeight="true" outlineLevel="0" collapsed="false">
      <c r="A38" s="32" t="n">
        <v>34</v>
      </c>
      <c r="B38" s="7" t="s">
        <v>1019</v>
      </c>
      <c r="C38" s="7" t="s">
        <v>1020</v>
      </c>
      <c r="D38" s="7" t="s">
        <v>1032</v>
      </c>
      <c r="E38" s="7" t="s">
        <v>1033</v>
      </c>
      <c r="F38" s="30" t="n">
        <v>1</v>
      </c>
      <c r="G38" s="7" t="s">
        <v>330</v>
      </c>
      <c r="H38" s="67" t="n">
        <v>25000</v>
      </c>
      <c r="I38" s="7" t="s">
        <v>471</v>
      </c>
      <c r="J38" s="32" t="n">
        <f aca="false">F38*H38*IF(G38="USD",Supuestos!$B$6,1)*IF(I38="Sí",1+Supuestos!$B$18,1)</f>
        <v>88384230</v>
      </c>
      <c r="K38" s="7" t="s">
        <v>324</v>
      </c>
      <c r="L38" s="7" t="s">
        <v>959</v>
      </c>
      <c r="M38" s="7" t="s">
        <v>1024</v>
      </c>
      <c r="N38" s="7" t="s">
        <v>942</v>
      </c>
    </row>
    <row r="39" customFormat="false" ht="15" hidden="false" customHeight="true" outlineLevel="0" collapsed="false">
      <c r="A39" s="32" t="n">
        <v>35</v>
      </c>
      <c r="B39" s="7" t="s">
        <v>1019</v>
      </c>
      <c r="C39" s="7" t="s">
        <v>1020</v>
      </c>
      <c r="D39" s="7" t="s">
        <v>1034</v>
      </c>
      <c r="E39" s="7" t="s">
        <v>1033</v>
      </c>
      <c r="F39" s="30" t="n">
        <v>1</v>
      </c>
      <c r="G39" s="7" t="s">
        <v>330</v>
      </c>
      <c r="H39" s="67" t="n">
        <v>40000</v>
      </c>
      <c r="I39" s="7" t="s">
        <v>471</v>
      </c>
      <c r="J39" s="32" t="n">
        <f aca="false">F39*H39*IF(G39="USD",Supuestos!$B$6,1)*IF(I39="Sí",1+Supuestos!$B$18,1)</f>
        <v>141414768</v>
      </c>
      <c r="K39" s="7" t="s">
        <v>324</v>
      </c>
      <c r="L39" s="7" t="s">
        <v>959</v>
      </c>
      <c r="M39" s="7" t="s">
        <v>1024</v>
      </c>
      <c r="N39" s="7" t="s">
        <v>942</v>
      </c>
    </row>
    <row r="40" customFormat="false" ht="15" hidden="false" customHeight="true" outlineLevel="0" collapsed="false">
      <c r="A40" s="32" t="n">
        <v>36</v>
      </c>
      <c r="B40" s="7" t="s">
        <v>1019</v>
      </c>
      <c r="C40" s="7" t="s">
        <v>1020</v>
      </c>
      <c r="D40" s="7" t="s">
        <v>1035</v>
      </c>
      <c r="E40" s="7" t="s">
        <v>1033</v>
      </c>
      <c r="F40" s="30" t="n">
        <v>1</v>
      </c>
      <c r="G40" s="7" t="s">
        <v>330</v>
      </c>
      <c r="H40" s="67" t="n">
        <v>35000</v>
      </c>
      <c r="I40" s="7" t="s">
        <v>471</v>
      </c>
      <c r="J40" s="32" t="n">
        <f aca="false">F40*H40*IF(G40="USD",Supuestos!$B$6,1)*IF(I40="Sí",1+Supuestos!$B$18,1)</f>
        <v>123737922</v>
      </c>
      <c r="K40" s="7" t="s">
        <v>324</v>
      </c>
      <c r="L40" s="7" t="s">
        <v>959</v>
      </c>
      <c r="M40" s="7" t="s">
        <v>1024</v>
      </c>
      <c r="N40" s="7" t="s">
        <v>942</v>
      </c>
    </row>
    <row r="41" customFormat="false" ht="15" hidden="false" customHeight="true" outlineLevel="0" collapsed="false">
      <c r="A41" s="32" t="n">
        <v>37</v>
      </c>
      <c r="B41" s="7" t="s">
        <v>1019</v>
      </c>
      <c r="C41" s="7" t="s">
        <v>1020</v>
      </c>
      <c r="D41" s="7" t="s">
        <v>1036</v>
      </c>
      <c r="E41" s="7" t="s">
        <v>1033</v>
      </c>
      <c r="F41" s="30" t="n">
        <v>1</v>
      </c>
      <c r="G41" s="7" t="s">
        <v>330</v>
      </c>
      <c r="H41" s="67" t="n">
        <v>15000</v>
      </c>
      <c r="I41" s="7" t="s">
        <v>471</v>
      </c>
      <c r="J41" s="32" t="n">
        <f aca="false">F41*H41*IF(G41="USD",Supuestos!$B$6,1)*IF(I41="Sí",1+Supuestos!$B$18,1)</f>
        <v>53030538</v>
      </c>
      <c r="K41" s="7" t="s">
        <v>324</v>
      </c>
      <c r="L41" s="7" t="s">
        <v>959</v>
      </c>
      <c r="M41" s="7" t="s">
        <v>1024</v>
      </c>
      <c r="N41" s="7" t="s">
        <v>942</v>
      </c>
    </row>
    <row r="42" customFormat="false" ht="15" hidden="false" customHeight="true" outlineLevel="0" collapsed="false">
      <c r="A42" s="32" t="n">
        <v>38</v>
      </c>
      <c r="B42" s="7" t="s">
        <v>1037</v>
      </c>
      <c r="C42" s="7" t="s">
        <v>1038</v>
      </c>
      <c r="D42" s="7" t="s">
        <v>1039</v>
      </c>
      <c r="E42" s="7" t="s">
        <v>1040</v>
      </c>
      <c r="F42" s="30" t="n">
        <v>1</v>
      </c>
      <c r="G42" s="7" t="s">
        <v>330</v>
      </c>
      <c r="H42" s="67" t="n">
        <v>1200</v>
      </c>
      <c r="I42" s="7" t="s">
        <v>1041</v>
      </c>
      <c r="J42" s="32" t="n">
        <f aca="false">F42*H42*IF(G42="USD",Supuestos!$B$6,1)*IF(I42="Sí",1+Supuestos!$B$18,1)</f>
        <v>3928188</v>
      </c>
      <c r="K42" s="7" t="s">
        <v>945</v>
      </c>
      <c r="L42" s="7" t="s">
        <v>1042</v>
      </c>
      <c r="M42" s="7" t="s">
        <v>1043</v>
      </c>
      <c r="N42" s="7" t="s">
        <v>1005</v>
      </c>
    </row>
    <row r="43" customFormat="false" ht="15" hidden="false" customHeight="true" outlineLevel="0" collapsed="false">
      <c r="A43" s="32" t="n">
        <v>39</v>
      </c>
      <c r="B43" s="7" t="s">
        <v>1037</v>
      </c>
      <c r="C43" s="7" t="s">
        <v>1038</v>
      </c>
      <c r="D43" s="7" t="s">
        <v>1044</v>
      </c>
      <c r="E43" s="7" t="s">
        <v>1045</v>
      </c>
      <c r="F43" s="30" t="n">
        <v>1</v>
      </c>
      <c r="G43" s="7" t="s">
        <v>330</v>
      </c>
      <c r="H43" s="67" t="n">
        <v>11225</v>
      </c>
      <c r="I43" s="7" t="s">
        <v>1041</v>
      </c>
      <c r="J43" s="32" t="n">
        <f aca="false">F43*H43*IF(G43="USD",Supuestos!$B$6,1)*IF(I43="Sí",1+Supuestos!$B$18,1)</f>
        <v>36744925.25</v>
      </c>
      <c r="K43" s="7" t="s">
        <v>945</v>
      </c>
      <c r="L43" s="7" t="s">
        <v>1042</v>
      </c>
      <c r="M43" s="7" t="s">
        <v>1043</v>
      </c>
      <c r="N43" s="7" t="s">
        <v>1005</v>
      </c>
    </row>
    <row r="44" customFormat="false" ht="15" hidden="false" customHeight="true" outlineLevel="0" collapsed="false">
      <c r="A44" s="32" t="n">
        <v>40</v>
      </c>
      <c r="B44" s="7" t="s">
        <v>1037</v>
      </c>
      <c r="C44" s="7" t="s">
        <v>1038</v>
      </c>
      <c r="D44" s="7" t="s">
        <v>1046</v>
      </c>
      <c r="E44" s="7" t="s">
        <v>1047</v>
      </c>
      <c r="F44" s="30" t="n">
        <v>1</v>
      </c>
      <c r="G44" s="7" t="s">
        <v>330</v>
      </c>
      <c r="H44" s="67" t="n">
        <v>3500</v>
      </c>
      <c r="I44" s="7" t="s">
        <v>1041</v>
      </c>
      <c r="J44" s="32" t="n">
        <f aca="false">F44*H44*IF(G44="USD",Supuestos!$B$6,1)*IF(I44="Sí",1+Supuestos!$B$18,1)</f>
        <v>11457215</v>
      </c>
      <c r="K44" s="7" t="s">
        <v>945</v>
      </c>
      <c r="L44" s="7" t="s">
        <v>1042</v>
      </c>
      <c r="M44" s="7" t="s">
        <v>1043</v>
      </c>
      <c r="N44" s="7" t="s">
        <v>1005</v>
      </c>
    </row>
    <row r="45" customFormat="false" ht="15" hidden="false" customHeight="true" outlineLevel="0" collapsed="false">
      <c r="A45" s="32" t="n">
        <v>41</v>
      </c>
      <c r="B45" s="7" t="s">
        <v>1037</v>
      </c>
      <c r="C45" s="7" t="s">
        <v>1038</v>
      </c>
      <c r="D45" s="7" t="s">
        <v>1048</v>
      </c>
      <c r="E45" s="7" t="s">
        <v>1049</v>
      </c>
      <c r="F45" s="30" t="n">
        <v>1</v>
      </c>
      <c r="G45" s="7" t="s">
        <v>330</v>
      </c>
      <c r="H45" s="67" t="n">
        <v>2300</v>
      </c>
      <c r="I45" s="7" t="s">
        <v>1041</v>
      </c>
      <c r="J45" s="32" t="n">
        <f aca="false">F45*H45*IF(G45="USD",Supuestos!$B$6,1)*IF(I45="Sí",1+Supuestos!$B$18,1)</f>
        <v>7529027</v>
      </c>
      <c r="K45" s="7" t="s">
        <v>945</v>
      </c>
      <c r="L45" s="7" t="s">
        <v>1042</v>
      </c>
      <c r="M45" s="7" t="s">
        <v>1043</v>
      </c>
      <c r="N45" s="7" t="s">
        <v>1005</v>
      </c>
    </row>
    <row r="46" customFormat="false" ht="15" hidden="false" customHeight="true" outlineLevel="0" collapsed="false">
      <c r="A46" s="32" t="n">
        <v>42</v>
      </c>
      <c r="B46" s="7" t="s">
        <v>1037</v>
      </c>
      <c r="C46" s="7" t="s">
        <v>1038</v>
      </c>
      <c r="D46" s="7" t="s">
        <v>1050</v>
      </c>
      <c r="E46" s="7" t="s">
        <v>1051</v>
      </c>
      <c r="F46" s="30" t="n">
        <v>1</v>
      </c>
      <c r="G46" s="7" t="s">
        <v>330</v>
      </c>
      <c r="H46" s="67" t="n">
        <v>3900</v>
      </c>
      <c r="I46" s="7" t="s">
        <v>1041</v>
      </c>
      <c r="J46" s="32" t="n">
        <f aca="false">F46*H46*IF(G46="USD",Supuestos!$B$6,1)*IF(I46="Sí",1+Supuestos!$B$18,1)</f>
        <v>12766611</v>
      </c>
      <c r="K46" s="7" t="s">
        <v>945</v>
      </c>
      <c r="L46" s="7" t="s">
        <v>1042</v>
      </c>
      <c r="M46" s="7" t="s">
        <v>1043</v>
      </c>
      <c r="N46" s="7" t="s">
        <v>1005</v>
      </c>
    </row>
    <row r="47" customFormat="false" ht="15" hidden="false" customHeight="true" outlineLevel="0" collapsed="false">
      <c r="A47" s="32" t="n">
        <v>43</v>
      </c>
      <c r="B47" s="7" t="s">
        <v>1037</v>
      </c>
      <c r="C47" s="7" t="s">
        <v>1038</v>
      </c>
      <c r="D47" s="7" t="s">
        <v>1052</v>
      </c>
      <c r="E47" s="7" t="s">
        <v>1053</v>
      </c>
      <c r="F47" s="30" t="n">
        <v>1</v>
      </c>
      <c r="G47" s="7" t="s">
        <v>330</v>
      </c>
      <c r="H47" s="67" t="n">
        <v>2245</v>
      </c>
      <c r="I47" s="7" t="s">
        <v>1041</v>
      </c>
      <c r="J47" s="32" t="n">
        <f aca="false">F47*H47*IF(G47="USD",Supuestos!$B$6,1)*IF(I47="Sí",1+Supuestos!$B$18,1)</f>
        <v>7348985.05</v>
      </c>
      <c r="K47" s="7" t="s">
        <v>945</v>
      </c>
      <c r="L47" s="7" t="s">
        <v>1042</v>
      </c>
      <c r="M47" s="7" t="s">
        <v>1043</v>
      </c>
      <c r="N47" s="7" t="s">
        <v>1005</v>
      </c>
    </row>
    <row r="48" customFormat="false" ht="15" hidden="false" customHeight="true" outlineLevel="0" collapsed="false">
      <c r="A48" s="32" t="n">
        <v>44</v>
      </c>
      <c r="B48" s="7" t="s">
        <v>1037</v>
      </c>
      <c r="C48" s="7" t="s">
        <v>1038</v>
      </c>
      <c r="D48" s="7" t="s">
        <v>1054</v>
      </c>
      <c r="E48" s="7" t="s">
        <v>1055</v>
      </c>
      <c r="F48" s="30" t="n">
        <v>1</v>
      </c>
      <c r="G48" s="7" t="s">
        <v>330</v>
      </c>
      <c r="H48" s="67" t="n">
        <v>1595</v>
      </c>
      <c r="I48" s="7" t="s">
        <v>1041</v>
      </c>
      <c r="J48" s="32" t="n">
        <f aca="false">F48*H48*IF(G48="USD",Supuestos!$B$6,1)*IF(I48="Sí",1+Supuestos!$B$18,1)</f>
        <v>5221216.55</v>
      </c>
      <c r="K48" s="7" t="s">
        <v>945</v>
      </c>
      <c r="L48" s="7" t="s">
        <v>1042</v>
      </c>
      <c r="M48" s="7" t="s">
        <v>1043</v>
      </c>
      <c r="N48" s="7" t="s">
        <v>1005</v>
      </c>
    </row>
    <row r="49" customFormat="false" ht="34.5" hidden="false" customHeight="true" outlineLevel="0" collapsed="false">
      <c r="A49" s="32" t="n">
        <v>45</v>
      </c>
      <c r="B49" s="7" t="s">
        <v>1037</v>
      </c>
      <c r="C49" s="7" t="s">
        <v>1038</v>
      </c>
      <c r="D49" s="7" t="s">
        <v>1056</v>
      </c>
      <c r="E49" s="7" t="s">
        <v>1057</v>
      </c>
      <c r="F49" s="30" t="n">
        <v>1</v>
      </c>
      <c r="G49" s="7" t="s">
        <v>330</v>
      </c>
      <c r="H49" s="67" t="n">
        <v>12982.5</v>
      </c>
      <c r="I49" s="7" t="s">
        <v>1041</v>
      </c>
      <c r="J49" s="32" t="n">
        <f aca="false">F49*H49*IF(G49="USD",Supuestos!$B$6,1)*IF(I49="Sí",1+Supuestos!$B$18,1)</f>
        <v>42498083.925</v>
      </c>
      <c r="K49" s="7" t="s">
        <v>324</v>
      </c>
      <c r="L49" s="7" t="s">
        <v>1058</v>
      </c>
      <c r="M49" s="7" t="s">
        <v>1043</v>
      </c>
      <c r="N49" s="7" t="s">
        <v>1005</v>
      </c>
    </row>
    <row r="50" customFormat="false" ht="15" hidden="false" customHeight="true" outlineLevel="0" collapsed="false">
      <c r="A50" s="32" t="n">
        <v>46</v>
      </c>
      <c r="B50" s="7" t="s">
        <v>1037</v>
      </c>
      <c r="C50" s="7" t="s">
        <v>1038</v>
      </c>
      <c r="D50" s="7" t="s">
        <v>1059</v>
      </c>
      <c r="E50" s="7" t="s">
        <v>1060</v>
      </c>
      <c r="F50" s="30" t="n">
        <v>1</v>
      </c>
      <c r="G50" s="7" t="s">
        <v>330</v>
      </c>
      <c r="H50" s="67" t="n">
        <v>22700</v>
      </c>
      <c r="I50" s="7" t="s">
        <v>1041</v>
      </c>
      <c r="J50" s="32" t="n">
        <f aca="false">F50*H50*IF(G50="USD",Supuestos!$B$6,1)*IF(I50="Sí",1+Supuestos!$B$18,1)</f>
        <v>74308223</v>
      </c>
      <c r="K50" s="7" t="s">
        <v>945</v>
      </c>
      <c r="L50" s="7" t="s">
        <v>1061</v>
      </c>
      <c r="M50" s="7" t="s">
        <v>1062</v>
      </c>
      <c r="N50" s="7" t="s">
        <v>1005</v>
      </c>
    </row>
    <row r="51" customFormat="false" ht="15" hidden="false" customHeight="true" outlineLevel="0" collapsed="false">
      <c r="A51" s="32" t="n">
        <v>47</v>
      </c>
      <c r="B51" s="7" t="s">
        <v>1037</v>
      </c>
      <c r="C51" s="7" t="s">
        <v>1038</v>
      </c>
      <c r="D51" s="7" t="s">
        <v>1063</v>
      </c>
      <c r="E51" s="7" t="s">
        <v>1064</v>
      </c>
      <c r="F51" s="30" t="n">
        <v>1</v>
      </c>
      <c r="G51" s="7" t="s">
        <v>330</v>
      </c>
      <c r="H51" s="67" t="n">
        <v>22700</v>
      </c>
      <c r="I51" s="7" t="s">
        <v>1041</v>
      </c>
      <c r="J51" s="32" t="n">
        <f aca="false">F51*H51*IF(G51="USD",Supuestos!$B$6,1)*IF(I51="Sí",1+Supuestos!$B$18,1)</f>
        <v>74308223</v>
      </c>
      <c r="K51" s="7" t="s">
        <v>945</v>
      </c>
      <c r="L51" s="7" t="s">
        <v>1061</v>
      </c>
      <c r="M51" s="7" t="s">
        <v>1062</v>
      </c>
      <c r="N51" s="7" t="s">
        <v>1005</v>
      </c>
    </row>
    <row r="52" customFormat="false" ht="15" hidden="false" customHeight="true" outlineLevel="0" collapsed="false">
      <c r="A52" s="32" t="n">
        <v>48</v>
      </c>
      <c r="B52" s="7" t="s">
        <v>1037</v>
      </c>
      <c r="C52" s="7" t="s">
        <v>1038</v>
      </c>
      <c r="D52" s="7" t="s">
        <v>1065</v>
      </c>
      <c r="E52" s="7" t="s">
        <v>1066</v>
      </c>
      <c r="F52" s="30" t="n">
        <v>1</v>
      </c>
      <c r="G52" s="7" t="s">
        <v>330</v>
      </c>
      <c r="H52" s="67" t="n">
        <v>35000</v>
      </c>
      <c r="I52" s="7" t="s">
        <v>1041</v>
      </c>
      <c r="J52" s="32" t="n">
        <f aca="false">F52*H52*IF(G52="USD",Supuestos!$B$6,1)*IF(I52="Sí",1+Supuestos!$B$18,1)</f>
        <v>114572150</v>
      </c>
      <c r="K52" s="7" t="s">
        <v>945</v>
      </c>
      <c r="L52" s="7" t="s">
        <v>1061</v>
      </c>
      <c r="M52" s="7" t="s">
        <v>1062</v>
      </c>
      <c r="N52" s="7" t="s">
        <v>1005</v>
      </c>
    </row>
    <row r="53" customFormat="false" ht="15" hidden="false" customHeight="true" outlineLevel="0" collapsed="false">
      <c r="A53" s="32" t="n">
        <v>49</v>
      </c>
      <c r="B53" s="7" t="s">
        <v>1037</v>
      </c>
      <c r="C53" s="7" t="s">
        <v>1038</v>
      </c>
      <c r="D53" s="7" t="s">
        <v>1067</v>
      </c>
      <c r="E53" s="7" t="s">
        <v>1068</v>
      </c>
      <c r="F53" s="30" t="n">
        <v>1</v>
      </c>
      <c r="G53" s="7" t="s">
        <v>330</v>
      </c>
      <c r="H53" s="67" t="n">
        <v>9100</v>
      </c>
      <c r="I53" s="7" t="s">
        <v>1041</v>
      </c>
      <c r="J53" s="32" t="n">
        <f aca="false">F53*H53*IF(G53="USD",Supuestos!$B$6,1)*IF(I53="Sí",1+Supuestos!$B$18,1)</f>
        <v>29788759</v>
      </c>
      <c r="K53" s="7" t="s">
        <v>945</v>
      </c>
      <c r="L53" s="7" t="s">
        <v>1061</v>
      </c>
      <c r="M53" s="7" t="s">
        <v>1062</v>
      </c>
      <c r="N53" s="7" t="s">
        <v>1005</v>
      </c>
    </row>
    <row r="54" customFormat="false" ht="15" hidden="false" customHeight="true" outlineLevel="0" collapsed="false">
      <c r="A54" s="32" t="n">
        <v>50</v>
      </c>
      <c r="B54" s="7" t="s">
        <v>1037</v>
      </c>
      <c r="C54" s="7" t="s">
        <v>1038</v>
      </c>
      <c r="D54" s="7" t="s">
        <v>1069</v>
      </c>
      <c r="E54" s="7" t="s">
        <v>1070</v>
      </c>
      <c r="F54" s="30" t="n">
        <v>1</v>
      </c>
      <c r="G54" s="7" t="s">
        <v>330</v>
      </c>
      <c r="H54" s="67" t="n">
        <v>9100</v>
      </c>
      <c r="I54" s="7" t="s">
        <v>1041</v>
      </c>
      <c r="J54" s="32" t="n">
        <f aca="false">F54*H54*IF(G54="USD",Supuestos!$B$6,1)*IF(I54="Sí",1+Supuestos!$B$18,1)</f>
        <v>29788759</v>
      </c>
      <c r="K54" s="7" t="s">
        <v>945</v>
      </c>
      <c r="L54" s="7" t="s">
        <v>1061</v>
      </c>
      <c r="M54" s="7" t="s">
        <v>1062</v>
      </c>
      <c r="N54" s="7" t="s">
        <v>1005</v>
      </c>
    </row>
    <row r="55" customFormat="false" ht="15" hidden="false" customHeight="true" outlineLevel="0" collapsed="false">
      <c r="A55" s="32" t="n">
        <v>51</v>
      </c>
      <c r="B55" s="7" t="s">
        <v>1037</v>
      </c>
      <c r="C55" s="7" t="s">
        <v>1038</v>
      </c>
      <c r="D55" s="7" t="s">
        <v>1071</v>
      </c>
      <c r="E55" s="7" t="s">
        <v>1072</v>
      </c>
      <c r="F55" s="30" t="n">
        <v>1</v>
      </c>
      <c r="G55" s="7" t="s">
        <v>330</v>
      </c>
      <c r="H55" s="67" t="n">
        <v>5400</v>
      </c>
      <c r="I55" s="7" t="s">
        <v>1041</v>
      </c>
      <c r="J55" s="32" t="n">
        <f aca="false">F55*H55*IF(G55="USD",Supuestos!$B$6,1)*IF(I55="Sí",1+Supuestos!$B$18,1)</f>
        <v>17676846</v>
      </c>
      <c r="K55" s="7" t="s">
        <v>945</v>
      </c>
      <c r="L55" s="7" t="s">
        <v>1061</v>
      </c>
      <c r="M55" s="7" t="s">
        <v>1062</v>
      </c>
      <c r="N55" s="7" t="s">
        <v>1005</v>
      </c>
    </row>
    <row r="56" customFormat="false" ht="15" hidden="false" customHeight="true" outlineLevel="0" collapsed="false">
      <c r="A56" s="32" t="n">
        <v>52</v>
      </c>
      <c r="B56" s="7" t="s">
        <v>1037</v>
      </c>
      <c r="C56" s="7" t="s">
        <v>1038</v>
      </c>
      <c r="D56" s="7" t="s">
        <v>1073</v>
      </c>
      <c r="E56" s="7" t="s">
        <v>1074</v>
      </c>
      <c r="F56" s="30" t="n">
        <v>1</v>
      </c>
      <c r="G56" s="7" t="s">
        <v>330</v>
      </c>
      <c r="H56" s="67" t="n">
        <v>16200</v>
      </c>
      <c r="I56" s="7" t="s">
        <v>1041</v>
      </c>
      <c r="J56" s="32" t="n">
        <f aca="false">F56*H56*IF(G56="USD",Supuestos!$B$6,1)*IF(I56="Sí",1+Supuestos!$B$18,1)</f>
        <v>53030538</v>
      </c>
      <c r="K56" s="7" t="s">
        <v>945</v>
      </c>
      <c r="L56" s="7" t="s">
        <v>1061</v>
      </c>
      <c r="M56" s="7" t="s">
        <v>1062</v>
      </c>
      <c r="N56" s="7" t="s">
        <v>1005</v>
      </c>
    </row>
    <row r="57" customFormat="false" ht="15" hidden="false" customHeight="true" outlineLevel="0" collapsed="false">
      <c r="A57" s="32" t="n">
        <v>53</v>
      </c>
      <c r="B57" s="7" t="s">
        <v>1037</v>
      </c>
      <c r="C57" s="7" t="s">
        <v>1038</v>
      </c>
      <c r="D57" s="7" t="s">
        <v>1075</v>
      </c>
      <c r="E57" s="7" t="s">
        <v>1072</v>
      </c>
      <c r="F57" s="30" t="n">
        <v>1</v>
      </c>
      <c r="G57" s="7" t="s">
        <v>330</v>
      </c>
      <c r="H57" s="67" t="n">
        <v>5200</v>
      </c>
      <c r="I57" s="7" t="s">
        <v>1041</v>
      </c>
      <c r="J57" s="32" t="n">
        <f aca="false">F57*H57*IF(G57="USD",Supuestos!$B$6,1)*IF(I57="Sí",1+Supuestos!$B$18,1)</f>
        <v>17022148</v>
      </c>
      <c r="K57" s="7" t="s">
        <v>945</v>
      </c>
      <c r="L57" s="7" t="s">
        <v>1061</v>
      </c>
      <c r="M57" s="7" t="s">
        <v>1062</v>
      </c>
      <c r="N57" s="7" t="s">
        <v>1005</v>
      </c>
    </row>
    <row r="58" customFormat="false" ht="23.25" hidden="false" customHeight="true" outlineLevel="0" collapsed="false">
      <c r="A58" s="32" t="n">
        <v>54</v>
      </c>
      <c r="B58" s="7" t="s">
        <v>1076</v>
      </c>
      <c r="C58" s="7" t="s">
        <v>1077</v>
      </c>
      <c r="D58" s="7" t="s">
        <v>1078</v>
      </c>
      <c r="E58" s="7" t="s">
        <v>1079</v>
      </c>
      <c r="F58" s="30" t="n">
        <v>3</v>
      </c>
      <c r="G58" s="7" t="s">
        <v>255</v>
      </c>
      <c r="H58" s="30" t="n">
        <v>75000000</v>
      </c>
      <c r="I58" s="7" t="s">
        <v>1041</v>
      </c>
      <c r="J58" s="32" t="n">
        <f aca="false">F58*H58*IF(G58="USD",Supuestos!$B$6,1)*IF(I58="Sí",1+Supuestos!$B$18,1)</f>
        <v>225000000</v>
      </c>
      <c r="K58" s="7" t="s">
        <v>324</v>
      </c>
      <c r="L58" s="7" t="s">
        <v>1080</v>
      </c>
      <c r="M58" s="7" t="s">
        <v>1081</v>
      </c>
      <c r="N58" s="7" t="s">
        <v>942</v>
      </c>
    </row>
    <row r="59" customFormat="false" ht="23.25" hidden="false" customHeight="true" outlineLevel="0" collapsed="false">
      <c r="A59" s="32" t="n">
        <v>55</v>
      </c>
      <c r="B59" s="7" t="s">
        <v>1076</v>
      </c>
      <c r="C59" s="7" t="s">
        <v>1082</v>
      </c>
      <c r="D59" s="7" t="s">
        <v>1083</v>
      </c>
      <c r="E59" s="7" t="s">
        <v>1084</v>
      </c>
      <c r="F59" s="30" t="n">
        <v>1</v>
      </c>
      <c r="G59" s="7" t="s">
        <v>255</v>
      </c>
      <c r="H59" s="30" t="n">
        <v>120000000</v>
      </c>
      <c r="I59" s="7" t="s">
        <v>1041</v>
      </c>
      <c r="J59" s="32" t="n">
        <f aca="false">F59*H59*IF(G59="USD",Supuestos!$B$6,1)*IF(I59="Sí",1+Supuestos!$B$18,1)</f>
        <v>120000000</v>
      </c>
      <c r="K59" s="7" t="s">
        <v>324</v>
      </c>
      <c r="L59" s="7" t="s">
        <v>959</v>
      </c>
      <c r="M59" s="7" t="s">
        <v>1085</v>
      </c>
      <c r="N59" s="7" t="s">
        <v>942</v>
      </c>
    </row>
    <row r="60" customFormat="false" ht="23.25" hidden="false" customHeight="true" outlineLevel="0" collapsed="false">
      <c r="A60" s="32" t="n">
        <v>56</v>
      </c>
      <c r="B60" s="7" t="s">
        <v>1076</v>
      </c>
      <c r="C60" s="7" t="s">
        <v>1086</v>
      </c>
      <c r="D60" s="7" t="s">
        <v>1087</v>
      </c>
      <c r="E60" s="7" t="s">
        <v>1088</v>
      </c>
      <c r="F60" s="30" t="n">
        <v>1</v>
      </c>
      <c r="G60" s="7" t="s">
        <v>255</v>
      </c>
      <c r="H60" s="30" t="n">
        <v>380000000</v>
      </c>
      <c r="I60" s="7" t="s">
        <v>1041</v>
      </c>
      <c r="J60" s="32" t="n">
        <f aca="false">F60*H60*IF(G60="USD",Supuestos!$B$6,1)*IF(I60="Sí",1+Supuestos!$B$18,1)</f>
        <v>380000000</v>
      </c>
      <c r="K60" s="7" t="s">
        <v>324</v>
      </c>
      <c r="L60" s="7" t="s">
        <v>959</v>
      </c>
      <c r="M60" s="7" t="s">
        <v>1089</v>
      </c>
      <c r="N60" s="7" t="s">
        <v>942</v>
      </c>
    </row>
    <row r="61" customFormat="false" ht="15" hidden="false" customHeight="true" outlineLevel="0" collapsed="false">
      <c r="A61" s="32" t="n">
        <v>57</v>
      </c>
      <c r="B61" s="7" t="s">
        <v>1076</v>
      </c>
      <c r="C61" s="7" t="s">
        <v>1090</v>
      </c>
      <c r="D61" s="7" t="s">
        <v>1091</v>
      </c>
      <c r="E61" s="7" t="s">
        <v>1000</v>
      </c>
      <c r="F61" s="30" t="n">
        <v>1</v>
      </c>
      <c r="G61" s="7" t="s">
        <v>255</v>
      </c>
      <c r="H61" s="30" t="n">
        <v>450000000</v>
      </c>
      <c r="I61" s="7" t="s">
        <v>1041</v>
      </c>
      <c r="J61" s="32" t="n">
        <f aca="false">F61*H61*IF(G61="USD",Supuestos!$B$6,1)*IF(I61="Sí",1+Supuestos!$B$18,1)</f>
        <v>450000000</v>
      </c>
      <c r="K61" s="7" t="s">
        <v>324</v>
      </c>
      <c r="L61" s="7" t="s">
        <v>959</v>
      </c>
      <c r="M61" s="7" t="s">
        <v>1092</v>
      </c>
      <c r="N61" s="7" t="s">
        <v>942</v>
      </c>
    </row>
    <row r="62" customFormat="false" ht="15" hidden="false" customHeight="true" outlineLevel="0" collapsed="false">
      <c r="A62" s="32" t="n">
        <v>58</v>
      </c>
      <c r="B62" s="7" t="s">
        <v>1076</v>
      </c>
      <c r="C62" s="7" t="s">
        <v>1093</v>
      </c>
      <c r="D62" s="7" t="s">
        <v>1094</v>
      </c>
      <c r="E62" s="7" t="s">
        <v>1007</v>
      </c>
      <c r="F62" s="30" t="n">
        <v>1</v>
      </c>
      <c r="G62" s="7" t="s">
        <v>255</v>
      </c>
      <c r="H62" s="30" t="n">
        <v>60000000</v>
      </c>
      <c r="I62" s="7" t="s">
        <v>1041</v>
      </c>
      <c r="J62" s="32" t="n">
        <f aca="false">F62*H62*IF(G62="USD",Supuestos!$B$6,1)*IF(I62="Sí",1+Supuestos!$B$18,1)</f>
        <v>60000000</v>
      </c>
      <c r="K62" s="7" t="s">
        <v>324</v>
      </c>
      <c r="L62" s="7" t="s">
        <v>959</v>
      </c>
      <c r="M62" s="7" t="s">
        <v>1004</v>
      </c>
      <c r="N62" s="7" t="s">
        <v>1005</v>
      </c>
    </row>
    <row r="63" customFormat="false" ht="23.25" hidden="false" customHeight="true" outlineLevel="0" collapsed="false">
      <c r="A63" s="32" t="n">
        <v>59</v>
      </c>
      <c r="B63" s="7" t="s">
        <v>1076</v>
      </c>
      <c r="C63" s="7" t="s">
        <v>1095</v>
      </c>
      <c r="D63" s="7" t="s">
        <v>1096</v>
      </c>
      <c r="E63" s="7" t="s">
        <v>1033</v>
      </c>
      <c r="F63" s="30" t="n">
        <v>1</v>
      </c>
      <c r="G63" s="7" t="s">
        <v>255</v>
      </c>
      <c r="H63" s="30" t="n">
        <v>18000000</v>
      </c>
      <c r="I63" s="7" t="s">
        <v>1041</v>
      </c>
      <c r="J63" s="32" t="n">
        <f aca="false">F63*H63*IF(G63="USD",Supuestos!$B$6,1)*IF(I63="Sí",1+Supuestos!$B$18,1)</f>
        <v>18000000</v>
      </c>
      <c r="K63" s="7" t="s">
        <v>324</v>
      </c>
      <c r="L63" s="7" t="s">
        <v>1097</v>
      </c>
      <c r="M63" s="7" t="s">
        <v>1098</v>
      </c>
      <c r="N63" s="7" t="s">
        <v>942</v>
      </c>
    </row>
    <row r="64" customFormat="false" ht="34.5" hidden="false" customHeight="true" outlineLevel="0" collapsed="false">
      <c r="A64" s="32" t="n">
        <v>60</v>
      </c>
      <c r="B64" s="7" t="s">
        <v>1076</v>
      </c>
      <c r="C64" s="7" t="s">
        <v>1086</v>
      </c>
      <c r="D64" s="7" t="s">
        <v>1099</v>
      </c>
      <c r="E64" s="7" t="s">
        <v>1000</v>
      </c>
      <c r="F64" s="30" t="n">
        <v>1</v>
      </c>
      <c r="G64" s="7" t="s">
        <v>255</v>
      </c>
      <c r="H64" s="30" t="n">
        <v>12000000</v>
      </c>
      <c r="I64" s="7" t="s">
        <v>1041</v>
      </c>
      <c r="J64" s="32" t="n">
        <f aca="false">F64*H64*IF(G64="USD",Supuestos!$B$6,1)*IF(I64="Sí",1+Supuestos!$B$18,1)</f>
        <v>12000000</v>
      </c>
      <c r="K64" s="7" t="s">
        <v>324</v>
      </c>
      <c r="L64" s="7" t="s">
        <v>1100</v>
      </c>
      <c r="M64" s="7" t="s">
        <v>1098</v>
      </c>
      <c r="N64" s="7" t="s">
        <v>942</v>
      </c>
    </row>
    <row r="65" customFormat="false" ht="15" hidden="false" customHeight="true" outlineLevel="0" collapsed="false">
      <c r="A65" s="32" t="n">
        <v>61</v>
      </c>
      <c r="B65" s="7" t="s">
        <v>935</v>
      </c>
      <c r="C65" s="7" t="s">
        <v>936</v>
      </c>
      <c r="D65" s="7" t="s">
        <v>1101</v>
      </c>
      <c r="E65" s="7" t="s">
        <v>1102</v>
      </c>
      <c r="F65" s="30" t="n">
        <v>1</v>
      </c>
      <c r="G65" s="7" t="s">
        <v>330</v>
      </c>
      <c r="H65" s="30" t="n">
        <v>4500</v>
      </c>
      <c r="I65" s="7" t="s">
        <v>471</v>
      </c>
      <c r="J65" s="32" t="n">
        <f aca="false">F65*H65*IF(G65="USD",Supuestos!$B$6,1)*IF(I65="Sí",1+Supuestos!$B$18,1)</f>
        <v>15909161.4</v>
      </c>
      <c r="K65" s="7" t="s">
        <v>324</v>
      </c>
      <c r="L65" s="7" t="s">
        <v>1103</v>
      </c>
      <c r="M65" s="7" t="s">
        <v>941</v>
      </c>
      <c r="N65" s="7" t="s">
        <v>942</v>
      </c>
    </row>
    <row r="66" customFormat="false" ht="15" hidden="false" customHeight="true" outlineLevel="0" collapsed="false">
      <c r="A66" s="32" t="n">
        <v>62</v>
      </c>
      <c r="B66" s="7" t="s">
        <v>973</v>
      </c>
      <c r="C66" s="7" t="s">
        <v>936</v>
      </c>
      <c r="D66" s="7" t="s">
        <v>1104</v>
      </c>
      <c r="E66" s="7" t="s">
        <v>1105</v>
      </c>
      <c r="F66" s="30" t="n">
        <v>8</v>
      </c>
      <c r="G66" s="7" t="s">
        <v>330</v>
      </c>
      <c r="H66" s="30" t="n">
        <v>1500</v>
      </c>
      <c r="I66" s="7" t="s">
        <v>471</v>
      </c>
      <c r="J66" s="32" t="n">
        <f aca="false">F66*H66*IF(G66="USD",Supuestos!$B$6,1)*IF(I66="Sí",1+Supuestos!$B$18,1)</f>
        <v>42424430.4</v>
      </c>
      <c r="K66" s="7" t="s">
        <v>324</v>
      </c>
      <c r="L66" s="7" t="s">
        <v>1106</v>
      </c>
      <c r="M66" s="7" t="s">
        <v>973</v>
      </c>
      <c r="N66" s="7" t="s">
        <v>942</v>
      </c>
    </row>
    <row r="67" customFormat="false" ht="15" hidden="false" customHeight="true" outlineLevel="0" collapsed="false">
      <c r="A67" s="32" t="n">
        <v>63</v>
      </c>
      <c r="B67" s="7" t="s">
        <v>991</v>
      </c>
      <c r="C67" s="7" t="s">
        <v>992</v>
      </c>
      <c r="D67" s="7" t="s">
        <v>1107</v>
      </c>
      <c r="E67" s="7" t="s">
        <v>1108</v>
      </c>
      <c r="F67" s="30" t="n">
        <v>1</v>
      </c>
      <c r="G67" s="7" t="s">
        <v>330</v>
      </c>
      <c r="H67" s="30" t="n">
        <v>4000</v>
      </c>
      <c r="I67" s="7" t="s">
        <v>471</v>
      </c>
      <c r="J67" s="32" t="n">
        <f aca="false">F67*H67*IF(G67="USD",Supuestos!$B$6,1)*IF(I67="Sí",1+Supuestos!$B$18,1)</f>
        <v>14141476.8</v>
      </c>
      <c r="K67" s="7" t="s">
        <v>324</v>
      </c>
      <c r="L67" s="7" t="s">
        <v>959</v>
      </c>
      <c r="M67" s="7" t="s">
        <v>996</v>
      </c>
      <c r="N67" s="7" t="s">
        <v>942</v>
      </c>
    </row>
    <row r="68" customFormat="false" ht="15" hidden="false" customHeight="true" outlineLevel="0" collapsed="false">
      <c r="A68" s="32" t="n">
        <v>64</v>
      </c>
      <c r="B68" s="7" t="s">
        <v>1001</v>
      </c>
      <c r="C68" s="7" t="s">
        <v>992</v>
      </c>
      <c r="D68" s="7" t="s">
        <v>1109</v>
      </c>
      <c r="E68" s="7" t="s">
        <v>1110</v>
      </c>
      <c r="F68" s="30" t="n">
        <v>1</v>
      </c>
      <c r="G68" s="7" t="s">
        <v>330</v>
      </c>
      <c r="H68" s="30" t="n">
        <v>11400</v>
      </c>
      <c r="I68" s="7" t="s">
        <v>1041</v>
      </c>
      <c r="J68" s="32" t="n">
        <f aca="false">F68*H68*IF(G68="USD",Supuestos!$B$6,1)*IF(I68="Sí",1+Supuestos!$B$18,1)</f>
        <v>37317786</v>
      </c>
      <c r="K68" s="7" t="s">
        <v>324</v>
      </c>
      <c r="L68" s="7" t="s">
        <v>1111</v>
      </c>
      <c r="M68" s="7" t="s">
        <v>1004</v>
      </c>
      <c r="N68" s="7" t="s">
        <v>1005</v>
      </c>
    </row>
    <row r="69" customFormat="false" ht="23.85" hidden="false" customHeight="false" outlineLevel="0" collapsed="false">
      <c r="A69" s="32" t="n">
        <v>65</v>
      </c>
      <c r="B69" s="7" t="s">
        <v>1037</v>
      </c>
      <c r="C69" s="7" t="s">
        <v>1038</v>
      </c>
      <c r="D69" s="7" t="s">
        <v>1112</v>
      </c>
      <c r="E69" s="7" t="s">
        <v>1009</v>
      </c>
      <c r="F69" s="30" t="n">
        <v>1</v>
      </c>
      <c r="G69" s="7" t="s">
        <v>330</v>
      </c>
      <c r="H69" s="30" t="n">
        <v>3500</v>
      </c>
      <c r="I69" s="7" t="s">
        <v>1041</v>
      </c>
      <c r="J69" s="32" t="n">
        <f aca="false">F69*H69*IF(G69="USD",Supuestos!$B$6,1)*IF(I69="Sí",1+Supuestos!$B$18,1)</f>
        <v>11457215</v>
      </c>
      <c r="K69" s="7" t="s">
        <v>945</v>
      </c>
      <c r="L69" s="7" t="s">
        <v>1113</v>
      </c>
      <c r="M69" s="7" t="s">
        <v>1043</v>
      </c>
      <c r="N69" s="7" t="s">
        <v>1005</v>
      </c>
    </row>
    <row r="70" customFormat="false" ht="46.25" hidden="false" customHeight="false" outlineLevel="0" collapsed="false">
      <c r="A70" s="32" t="n">
        <v>66</v>
      </c>
      <c r="B70" s="7" t="s">
        <v>1019</v>
      </c>
      <c r="C70" s="7" t="s">
        <v>1020</v>
      </c>
      <c r="D70" s="7" t="s">
        <v>1114</v>
      </c>
      <c r="E70" s="7" t="s">
        <v>1033</v>
      </c>
      <c r="F70" s="30" t="n">
        <v>1</v>
      </c>
      <c r="G70" s="7" t="s">
        <v>255</v>
      </c>
      <c r="H70" s="30" t="n">
        <v>300000000</v>
      </c>
      <c r="I70" s="7" t="s">
        <v>1041</v>
      </c>
      <c r="J70" s="32" t="n">
        <f aca="false">F70*H70*IF(G70="USD",Supuestos!$B$6,1)*IF(I70="Sí",1+Supuestos!$B$18,1)</f>
        <v>300000000</v>
      </c>
      <c r="K70" s="7" t="s">
        <v>324</v>
      </c>
      <c r="L70" s="7" t="s">
        <v>1115</v>
      </c>
      <c r="M70" s="7" t="s">
        <v>1024</v>
      </c>
      <c r="N70" s="7" t="s">
        <v>942</v>
      </c>
    </row>
    <row r="71" customFormat="false" ht="15" hidden="false" customHeight="false" outlineLevel="0" collapsed="false">
      <c r="D71" s="34" t="s">
        <v>1116</v>
      </c>
      <c r="J71" s="36" t="n">
        <f aca="false">SUM(J5:J70)</f>
        <v>5771391421.60046</v>
      </c>
    </row>
    <row r="72" customFormat="false" ht="15" hidden="false" customHeight="false" outlineLevel="0" collapsed="false">
      <c r="D72" s="7" t="s">
        <v>1117</v>
      </c>
      <c r="J72" s="38" t="n">
        <f aca="false">SUMIFS(J5:J70,K5:K70,"Publicado")/J71</f>
        <v>0.120501210398908</v>
      </c>
    </row>
    <row r="73" customFormat="false" ht="15" hidden="false" customHeight="false" outlineLevel="0" collapsed="false">
      <c r="D73" s="7" t="s">
        <v>1118</v>
      </c>
      <c r="J73" s="38" t="n">
        <f aca="false">SUMIFS(J5:J70,K5:K70,"Rango publicado")/J71</f>
        <v>0.146900732130835</v>
      </c>
    </row>
    <row r="74" customFormat="false" ht="15" hidden="false" customHeight="false" outlineLevel="0" collapsed="false">
      <c r="D74" s="7" t="s">
        <v>1119</v>
      </c>
      <c r="J74" s="38" t="n">
        <f aca="false">SUMIFS(J5:J70,K5:K70,"Estimación")/J71</f>
        <v>0.732598057470257</v>
      </c>
    </row>
    <row r="75" customFormat="false" ht="23.85" hidden="false" customHeight="false" outlineLevel="0" collapsed="false">
      <c r="D75" s="7" t="s">
        <v>1120</v>
      </c>
      <c r="J75" s="38" t="n">
        <f aca="false">SUMIFS(J5:J70,G5:G70,"USD")/J71</f>
        <v>0.728834888213835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52" t="s">
        <v>1121</v>
      </c>
    </row>
    <row r="2" customFormat="false" ht="15" hidden="false" customHeight="false" outlineLevel="0" collapsed="false">
      <c r="A2" s="0" t="s">
        <v>1122</v>
      </c>
    </row>
    <row r="4" customFormat="false" ht="23.85" hidden="false" customHeight="false" outlineLevel="0" collapsed="false">
      <c r="A4" s="4" t="s">
        <v>1123</v>
      </c>
      <c r="B4" s="4" t="s">
        <v>309</v>
      </c>
      <c r="C4" s="4" t="s">
        <v>927</v>
      </c>
      <c r="D4" s="4" t="s">
        <v>80</v>
      </c>
      <c r="E4" s="4" t="s">
        <v>1124</v>
      </c>
      <c r="F4" s="4" t="s">
        <v>1125</v>
      </c>
      <c r="G4" s="4" t="s">
        <v>1126</v>
      </c>
      <c r="H4" s="4" t="s">
        <v>1127</v>
      </c>
    </row>
    <row r="5" customFormat="false" ht="15" hidden="false" customHeight="false" outlineLevel="0" collapsed="false">
      <c r="A5" s="68" t="s">
        <v>1128</v>
      </c>
      <c r="B5" s="68" t="s">
        <v>1129</v>
      </c>
      <c r="C5" s="68" t="s">
        <v>1130</v>
      </c>
      <c r="D5" s="68" t="s">
        <v>1131</v>
      </c>
      <c r="E5" s="68" t="s">
        <v>1132</v>
      </c>
      <c r="F5" s="68" t="s">
        <v>1133</v>
      </c>
      <c r="G5" s="68" t="s">
        <v>1134</v>
      </c>
      <c r="H5" s="68" t="n">
        <v>1</v>
      </c>
    </row>
    <row r="6" customFormat="false" ht="15" hidden="false" customHeight="false" outlineLevel="0" collapsed="false">
      <c r="A6" s="68" t="s">
        <v>1135</v>
      </c>
      <c r="B6" s="68" t="s">
        <v>1129</v>
      </c>
      <c r="C6" s="68" t="s">
        <v>1136</v>
      </c>
      <c r="D6" s="68" t="s">
        <v>1131</v>
      </c>
      <c r="E6" s="68" t="s">
        <v>1137</v>
      </c>
      <c r="F6" s="68" t="s">
        <v>1138</v>
      </c>
      <c r="G6" s="68" t="s">
        <v>1134</v>
      </c>
      <c r="H6" s="68" t="n">
        <v>9</v>
      </c>
    </row>
    <row r="7" customFormat="false" ht="15" hidden="false" customHeight="false" outlineLevel="0" collapsed="false">
      <c r="A7" s="68" t="s">
        <v>1139</v>
      </c>
      <c r="B7" s="68" t="s">
        <v>1129</v>
      </c>
      <c r="C7" s="68" t="s">
        <v>1140</v>
      </c>
      <c r="D7" s="68" t="s">
        <v>1131</v>
      </c>
      <c r="E7" s="68" t="s">
        <v>1141</v>
      </c>
      <c r="F7" s="68" t="s">
        <v>1138</v>
      </c>
      <c r="G7" s="68" t="s">
        <v>1134</v>
      </c>
      <c r="H7" s="68" t="n">
        <v>9</v>
      </c>
    </row>
    <row r="8" customFormat="false" ht="15" hidden="false" customHeight="false" outlineLevel="0" collapsed="false">
      <c r="A8" s="68" t="s">
        <v>1142</v>
      </c>
      <c r="B8" s="68" t="s">
        <v>1129</v>
      </c>
      <c r="C8" s="68" t="s">
        <v>1143</v>
      </c>
      <c r="D8" s="68" t="s">
        <v>1131</v>
      </c>
      <c r="E8" s="68" t="s">
        <v>1144</v>
      </c>
      <c r="F8" s="68" t="s">
        <v>1145</v>
      </c>
      <c r="G8" s="68" t="s">
        <v>1134</v>
      </c>
      <c r="H8" s="68" t="n">
        <v>8</v>
      </c>
    </row>
    <row r="9" customFormat="false" ht="15" hidden="false" customHeight="false" outlineLevel="0" collapsed="false">
      <c r="A9" s="68" t="s">
        <v>1146</v>
      </c>
      <c r="B9" s="68" t="s">
        <v>1129</v>
      </c>
      <c r="C9" s="68" t="s">
        <v>1147</v>
      </c>
      <c r="D9" s="68" t="s">
        <v>1131</v>
      </c>
      <c r="E9" s="68" t="s">
        <v>1148</v>
      </c>
      <c r="F9" s="68" t="s">
        <v>1145</v>
      </c>
      <c r="G9" s="68" t="s">
        <v>1134</v>
      </c>
      <c r="H9" s="68" t="n">
        <v>3</v>
      </c>
    </row>
    <row r="10" customFormat="false" ht="15" hidden="false" customHeight="false" outlineLevel="0" collapsed="false">
      <c r="A10" s="68" t="s">
        <v>1149</v>
      </c>
      <c r="B10" s="68" t="s">
        <v>1129</v>
      </c>
      <c r="C10" s="68" t="s">
        <v>1150</v>
      </c>
      <c r="D10" s="68" t="s">
        <v>1131</v>
      </c>
      <c r="E10" s="68" t="s">
        <v>1151</v>
      </c>
      <c r="F10" s="68" t="s">
        <v>1138</v>
      </c>
      <c r="G10" s="68" t="s">
        <v>1134</v>
      </c>
      <c r="H10" s="68" t="n">
        <v>62</v>
      </c>
    </row>
    <row r="11" customFormat="false" ht="15" hidden="false" customHeight="false" outlineLevel="0" collapsed="false">
      <c r="A11" s="68" t="s">
        <v>1152</v>
      </c>
      <c r="B11" s="68" t="s">
        <v>1129</v>
      </c>
      <c r="C11" s="68" t="s">
        <v>1153</v>
      </c>
      <c r="D11" s="68" t="s">
        <v>1154</v>
      </c>
      <c r="E11" s="68" t="s">
        <v>1155</v>
      </c>
      <c r="F11" s="68" t="s">
        <v>1133</v>
      </c>
      <c r="G11" s="68" t="s">
        <v>1134</v>
      </c>
      <c r="H11" s="68" t="n">
        <v>2</v>
      </c>
    </row>
    <row r="12" customFormat="false" ht="28.35" hidden="false" customHeight="false" outlineLevel="0" collapsed="false">
      <c r="A12" s="68" t="s">
        <v>1156</v>
      </c>
      <c r="B12" s="68" t="s">
        <v>1129</v>
      </c>
      <c r="C12" s="68" t="s">
        <v>1157</v>
      </c>
      <c r="D12" s="68" t="s">
        <v>1154</v>
      </c>
      <c r="E12" s="68" t="s">
        <v>1158</v>
      </c>
      <c r="F12" s="68" t="s">
        <v>1145</v>
      </c>
      <c r="G12" s="68" t="s">
        <v>1159</v>
      </c>
      <c r="H12" s="68" t="s">
        <v>117</v>
      </c>
    </row>
    <row r="13" customFormat="false" ht="15" hidden="false" customHeight="false" outlineLevel="0" collapsed="false">
      <c r="A13" s="68" t="s">
        <v>1160</v>
      </c>
      <c r="B13" s="68" t="s">
        <v>1129</v>
      </c>
      <c r="C13" s="68" t="s">
        <v>1161</v>
      </c>
      <c r="D13" s="68" t="s">
        <v>1154</v>
      </c>
      <c r="E13" s="68" t="s">
        <v>1158</v>
      </c>
      <c r="F13" s="68" t="s">
        <v>1145</v>
      </c>
      <c r="G13" s="68" t="s">
        <v>1134</v>
      </c>
      <c r="H13" s="68" t="n">
        <v>3</v>
      </c>
    </row>
    <row r="14" customFormat="false" ht="28.35" hidden="false" customHeight="false" outlineLevel="0" collapsed="false">
      <c r="A14" s="68" t="s">
        <v>1162</v>
      </c>
      <c r="B14" s="68" t="s">
        <v>1129</v>
      </c>
      <c r="C14" s="68" t="s">
        <v>1163</v>
      </c>
      <c r="D14" s="68" t="s">
        <v>1154</v>
      </c>
      <c r="E14" s="68" t="s">
        <v>1164</v>
      </c>
      <c r="F14" s="68" t="s">
        <v>1165</v>
      </c>
      <c r="G14" s="68" t="s">
        <v>1134</v>
      </c>
      <c r="H14" s="68" t="n">
        <v>61</v>
      </c>
    </row>
    <row r="15" customFormat="false" ht="15" hidden="false" customHeight="false" outlineLevel="0" collapsed="false">
      <c r="A15" s="68" t="s">
        <v>1166</v>
      </c>
      <c r="B15" s="68" t="s">
        <v>1129</v>
      </c>
      <c r="C15" s="68" t="s">
        <v>1167</v>
      </c>
      <c r="D15" s="68" t="s">
        <v>1154</v>
      </c>
      <c r="E15" s="68" t="s">
        <v>1168</v>
      </c>
      <c r="F15" s="68" t="s">
        <v>1169</v>
      </c>
      <c r="G15" s="68" t="s">
        <v>1134</v>
      </c>
      <c r="H15" s="68" t="n">
        <v>61</v>
      </c>
    </row>
    <row r="16" customFormat="false" ht="15" hidden="false" customHeight="false" outlineLevel="0" collapsed="false">
      <c r="A16" s="68" t="s">
        <v>1170</v>
      </c>
      <c r="B16" s="68" t="s">
        <v>1129</v>
      </c>
      <c r="C16" s="68" t="s">
        <v>1171</v>
      </c>
      <c r="D16" s="68" t="s">
        <v>1154</v>
      </c>
      <c r="E16" s="68" t="s">
        <v>1148</v>
      </c>
      <c r="F16" s="68" t="s">
        <v>1145</v>
      </c>
      <c r="G16" s="68" t="s">
        <v>1134</v>
      </c>
      <c r="H16" s="68" t="n">
        <v>3</v>
      </c>
    </row>
    <row r="17" customFormat="false" ht="28.35" hidden="false" customHeight="false" outlineLevel="0" collapsed="false">
      <c r="A17" s="68" t="s">
        <v>1172</v>
      </c>
      <c r="B17" s="68" t="s">
        <v>1129</v>
      </c>
      <c r="C17" s="68" t="s">
        <v>1173</v>
      </c>
      <c r="D17" s="68" t="s">
        <v>1154</v>
      </c>
      <c r="E17" s="68" t="s">
        <v>1174</v>
      </c>
      <c r="F17" s="68" t="s">
        <v>1145</v>
      </c>
      <c r="G17" s="68" t="s">
        <v>1175</v>
      </c>
      <c r="H17" s="68" t="n">
        <v>10</v>
      </c>
    </row>
    <row r="18" customFormat="false" ht="15" hidden="false" customHeight="false" outlineLevel="0" collapsed="false">
      <c r="A18" s="68" t="s">
        <v>1176</v>
      </c>
      <c r="B18" s="68" t="s">
        <v>1129</v>
      </c>
      <c r="C18" s="68" t="s">
        <v>1177</v>
      </c>
      <c r="D18" s="68" t="s">
        <v>1154</v>
      </c>
      <c r="E18" s="68" t="s">
        <v>1178</v>
      </c>
      <c r="F18" s="68" t="s">
        <v>1145</v>
      </c>
      <c r="G18" s="68" t="s">
        <v>1134</v>
      </c>
      <c r="H18" s="68" t="n">
        <v>10</v>
      </c>
    </row>
    <row r="19" customFormat="false" ht="15" hidden="false" customHeight="false" outlineLevel="0" collapsed="false">
      <c r="A19" s="68" t="s">
        <v>1179</v>
      </c>
      <c r="B19" s="68" t="s">
        <v>1129</v>
      </c>
      <c r="C19" s="68" t="s">
        <v>1180</v>
      </c>
      <c r="D19" s="68" t="s">
        <v>1181</v>
      </c>
      <c r="E19" s="68" t="s">
        <v>1148</v>
      </c>
      <c r="F19" s="68" t="s">
        <v>1145</v>
      </c>
      <c r="G19" s="68" t="s">
        <v>1134</v>
      </c>
      <c r="H19" s="68" t="n">
        <v>3</v>
      </c>
    </row>
    <row r="20" customFormat="false" ht="15" hidden="false" customHeight="false" outlineLevel="0" collapsed="false">
      <c r="A20" s="68" t="s">
        <v>1182</v>
      </c>
      <c r="B20" s="68" t="s">
        <v>1129</v>
      </c>
      <c r="C20" s="68" t="s">
        <v>1183</v>
      </c>
      <c r="D20" s="68" t="s">
        <v>1181</v>
      </c>
      <c r="E20" s="68" t="s">
        <v>1184</v>
      </c>
      <c r="F20" s="68" t="s">
        <v>1133</v>
      </c>
      <c r="G20" s="68" t="s">
        <v>1134</v>
      </c>
      <c r="H20" s="68" t="s">
        <v>1185</v>
      </c>
    </row>
    <row r="21" customFormat="false" ht="15" hidden="false" customHeight="false" outlineLevel="0" collapsed="false">
      <c r="A21" s="68" t="s">
        <v>1186</v>
      </c>
      <c r="B21" s="68" t="s">
        <v>1129</v>
      </c>
      <c r="C21" s="68" t="s">
        <v>1187</v>
      </c>
      <c r="D21" s="68" t="s">
        <v>1181</v>
      </c>
      <c r="E21" s="68" t="s">
        <v>1137</v>
      </c>
      <c r="F21" s="68" t="s">
        <v>1138</v>
      </c>
      <c r="G21" s="68" t="s">
        <v>1134</v>
      </c>
      <c r="H21" s="68" t="n">
        <v>9</v>
      </c>
    </row>
    <row r="22" customFormat="false" ht="15" hidden="false" customHeight="false" outlineLevel="0" collapsed="false">
      <c r="A22" s="68" t="s">
        <v>1188</v>
      </c>
      <c r="B22" s="68" t="s">
        <v>1129</v>
      </c>
      <c r="C22" s="68" t="s">
        <v>1189</v>
      </c>
      <c r="D22" s="68" t="s">
        <v>1181</v>
      </c>
      <c r="E22" s="68" t="s">
        <v>1190</v>
      </c>
      <c r="F22" s="68" t="s">
        <v>1191</v>
      </c>
      <c r="G22" s="68" t="s">
        <v>1134</v>
      </c>
      <c r="H22" s="68" t="n">
        <v>12</v>
      </c>
    </row>
    <row r="23" customFormat="false" ht="15" hidden="false" customHeight="false" outlineLevel="0" collapsed="false">
      <c r="A23" s="68" t="s">
        <v>1192</v>
      </c>
      <c r="B23" s="68" t="s">
        <v>1129</v>
      </c>
      <c r="C23" s="68" t="s">
        <v>1193</v>
      </c>
      <c r="D23" s="68" t="s">
        <v>1181</v>
      </c>
      <c r="E23" s="68" t="s">
        <v>1151</v>
      </c>
      <c r="F23" s="68" t="s">
        <v>1138</v>
      </c>
      <c r="G23" s="68" t="s">
        <v>1134</v>
      </c>
      <c r="H23" s="68" t="n">
        <v>62</v>
      </c>
    </row>
    <row r="24" customFormat="false" ht="15" hidden="false" customHeight="false" outlineLevel="0" collapsed="false">
      <c r="A24" s="68" t="s">
        <v>1194</v>
      </c>
      <c r="B24" s="68" t="s">
        <v>1129</v>
      </c>
      <c r="C24" s="68" t="s">
        <v>1180</v>
      </c>
      <c r="D24" s="68" t="s">
        <v>1195</v>
      </c>
      <c r="E24" s="68" t="s">
        <v>1148</v>
      </c>
      <c r="F24" s="68" t="s">
        <v>1145</v>
      </c>
      <c r="G24" s="68" t="s">
        <v>1134</v>
      </c>
      <c r="H24" s="68" t="n">
        <v>3</v>
      </c>
    </row>
    <row r="25" customFormat="false" ht="15" hidden="false" customHeight="false" outlineLevel="0" collapsed="false">
      <c r="A25" s="68" t="s">
        <v>1196</v>
      </c>
      <c r="B25" s="68" t="s">
        <v>1129</v>
      </c>
      <c r="C25" s="68" t="s">
        <v>1183</v>
      </c>
      <c r="D25" s="68" t="s">
        <v>1195</v>
      </c>
      <c r="E25" s="68" t="s">
        <v>1184</v>
      </c>
      <c r="F25" s="68" t="s">
        <v>1133</v>
      </c>
      <c r="G25" s="68" t="s">
        <v>1134</v>
      </c>
      <c r="H25" s="68" t="s">
        <v>1185</v>
      </c>
    </row>
    <row r="26" customFormat="false" ht="15" hidden="false" customHeight="false" outlineLevel="0" collapsed="false">
      <c r="A26" s="68" t="s">
        <v>1197</v>
      </c>
      <c r="B26" s="68" t="s">
        <v>1129</v>
      </c>
      <c r="C26" s="68" t="s">
        <v>1187</v>
      </c>
      <c r="D26" s="68" t="s">
        <v>1195</v>
      </c>
      <c r="E26" s="68" t="s">
        <v>1137</v>
      </c>
      <c r="F26" s="68" t="s">
        <v>1138</v>
      </c>
      <c r="G26" s="68" t="s">
        <v>1134</v>
      </c>
      <c r="H26" s="68" t="n">
        <v>9</v>
      </c>
    </row>
    <row r="27" customFormat="false" ht="15" hidden="false" customHeight="false" outlineLevel="0" collapsed="false">
      <c r="A27" s="68" t="s">
        <v>1198</v>
      </c>
      <c r="B27" s="68" t="s">
        <v>1129</v>
      </c>
      <c r="C27" s="68" t="s">
        <v>1189</v>
      </c>
      <c r="D27" s="68" t="s">
        <v>1195</v>
      </c>
      <c r="E27" s="68" t="s">
        <v>1190</v>
      </c>
      <c r="F27" s="68" t="s">
        <v>1191</v>
      </c>
      <c r="G27" s="68" t="s">
        <v>1134</v>
      </c>
      <c r="H27" s="68" t="n">
        <v>12</v>
      </c>
    </row>
    <row r="28" customFormat="false" ht="15" hidden="false" customHeight="false" outlineLevel="0" collapsed="false">
      <c r="A28" s="68" t="s">
        <v>1199</v>
      </c>
      <c r="B28" s="68" t="s">
        <v>1129</v>
      </c>
      <c r="C28" s="68" t="s">
        <v>1193</v>
      </c>
      <c r="D28" s="68" t="s">
        <v>1195</v>
      </c>
      <c r="E28" s="68" t="s">
        <v>1151</v>
      </c>
      <c r="F28" s="68" t="s">
        <v>1138</v>
      </c>
      <c r="G28" s="68" t="s">
        <v>1134</v>
      </c>
      <c r="H28" s="68" t="n">
        <v>62</v>
      </c>
    </row>
    <row r="29" customFormat="false" ht="15" hidden="false" customHeight="false" outlineLevel="0" collapsed="false">
      <c r="A29" s="68" t="s">
        <v>1200</v>
      </c>
      <c r="B29" s="68" t="s">
        <v>1129</v>
      </c>
      <c r="C29" s="68" t="s">
        <v>1180</v>
      </c>
      <c r="D29" s="68" t="s">
        <v>1201</v>
      </c>
      <c r="E29" s="68" t="s">
        <v>1148</v>
      </c>
      <c r="F29" s="68" t="s">
        <v>1145</v>
      </c>
      <c r="G29" s="68" t="s">
        <v>1134</v>
      </c>
      <c r="H29" s="68" t="n">
        <v>3</v>
      </c>
    </row>
    <row r="30" customFormat="false" ht="15" hidden="false" customHeight="false" outlineLevel="0" collapsed="false">
      <c r="A30" s="68" t="s">
        <v>1202</v>
      </c>
      <c r="B30" s="68" t="s">
        <v>1129</v>
      </c>
      <c r="C30" s="68" t="s">
        <v>1183</v>
      </c>
      <c r="D30" s="68" t="s">
        <v>1201</v>
      </c>
      <c r="E30" s="68" t="s">
        <v>1184</v>
      </c>
      <c r="F30" s="68" t="s">
        <v>1133</v>
      </c>
      <c r="G30" s="68" t="s">
        <v>1134</v>
      </c>
      <c r="H30" s="68" t="s">
        <v>1185</v>
      </c>
    </row>
    <row r="31" customFormat="false" ht="15" hidden="false" customHeight="false" outlineLevel="0" collapsed="false">
      <c r="A31" s="68" t="s">
        <v>1203</v>
      </c>
      <c r="B31" s="68" t="s">
        <v>1129</v>
      </c>
      <c r="C31" s="68" t="s">
        <v>1187</v>
      </c>
      <c r="D31" s="68" t="s">
        <v>1201</v>
      </c>
      <c r="E31" s="68" t="s">
        <v>1137</v>
      </c>
      <c r="F31" s="68" t="s">
        <v>1138</v>
      </c>
      <c r="G31" s="68" t="s">
        <v>1134</v>
      </c>
      <c r="H31" s="68" t="n">
        <v>9</v>
      </c>
    </row>
    <row r="32" customFormat="false" ht="15" hidden="false" customHeight="false" outlineLevel="0" collapsed="false">
      <c r="A32" s="68" t="s">
        <v>1204</v>
      </c>
      <c r="B32" s="68" t="s">
        <v>1129</v>
      </c>
      <c r="C32" s="68" t="s">
        <v>1189</v>
      </c>
      <c r="D32" s="68" t="s">
        <v>1201</v>
      </c>
      <c r="E32" s="68" t="s">
        <v>1190</v>
      </c>
      <c r="F32" s="68" t="s">
        <v>1191</v>
      </c>
      <c r="G32" s="68" t="s">
        <v>1134</v>
      </c>
      <c r="H32" s="68" t="n">
        <v>12</v>
      </c>
    </row>
    <row r="33" customFormat="false" ht="15" hidden="false" customHeight="false" outlineLevel="0" collapsed="false">
      <c r="A33" s="68" t="s">
        <v>1205</v>
      </c>
      <c r="B33" s="68" t="s">
        <v>1129</v>
      </c>
      <c r="C33" s="68" t="s">
        <v>1193</v>
      </c>
      <c r="D33" s="68" t="s">
        <v>1201</v>
      </c>
      <c r="E33" s="68" t="s">
        <v>1151</v>
      </c>
      <c r="F33" s="68" t="s">
        <v>1138</v>
      </c>
      <c r="G33" s="68" t="s">
        <v>1134</v>
      </c>
      <c r="H33" s="68" t="n">
        <v>62</v>
      </c>
    </row>
    <row r="34" customFormat="false" ht="15" hidden="false" customHeight="false" outlineLevel="0" collapsed="false">
      <c r="A34" s="68" t="s">
        <v>1206</v>
      </c>
      <c r="B34" s="68" t="s">
        <v>1129</v>
      </c>
      <c r="C34" s="68" t="s">
        <v>1180</v>
      </c>
      <c r="D34" s="68" t="s">
        <v>1207</v>
      </c>
      <c r="E34" s="68" t="s">
        <v>1148</v>
      </c>
      <c r="F34" s="68" t="s">
        <v>1145</v>
      </c>
      <c r="G34" s="68" t="s">
        <v>1134</v>
      </c>
      <c r="H34" s="68" t="n">
        <v>3</v>
      </c>
    </row>
    <row r="35" customFormat="false" ht="15" hidden="false" customHeight="false" outlineLevel="0" collapsed="false">
      <c r="A35" s="68" t="s">
        <v>1208</v>
      </c>
      <c r="B35" s="68" t="s">
        <v>1129</v>
      </c>
      <c r="C35" s="68" t="s">
        <v>1183</v>
      </c>
      <c r="D35" s="68" t="s">
        <v>1207</v>
      </c>
      <c r="E35" s="68" t="s">
        <v>1184</v>
      </c>
      <c r="F35" s="68" t="s">
        <v>1133</v>
      </c>
      <c r="G35" s="68" t="s">
        <v>1134</v>
      </c>
      <c r="H35" s="68" t="s">
        <v>1185</v>
      </c>
    </row>
    <row r="36" customFormat="false" ht="15" hidden="false" customHeight="false" outlineLevel="0" collapsed="false">
      <c r="A36" s="68" t="s">
        <v>1209</v>
      </c>
      <c r="B36" s="68" t="s">
        <v>1129</v>
      </c>
      <c r="C36" s="68" t="s">
        <v>1187</v>
      </c>
      <c r="D36" s="68" t="s">
        <v>1207</v>
      </c>
      <c r="E36" s="68" t="s">
        <v>1137</v>
      </c>
      <c r="F36" s="68" t="s">
        <v>1138</v>
      </c>
      <c r="G36" s="68" t="s">
        <v>1134</v>
      </c>
      <c r="H36" s="68" t="n">
        <v>9</v>
      </c>
    </row>
    <row r="37" customFormat="false" ht="15" hidden="false" customHeight="false" outlineLevel="0" collapsed="false">
      <c r="A37" s="68" t="s">
        <v>1210</v>
      </c>
      <c r="B37" s="68" t="s">
        <v>1129</v>
      </c>
      <c r="C37" s="68" t="s">
        <v>1189</v>
      </c>
      <c r="D37" s="68" t="s">
        <v>1207</v>
      </c>
      <c r="E37" s="68" t="s">
        <v>1190</v>
      </c>
      <c r="F37" s="68" t="s">
        <v>1191</v>
      </c>
      <c r="G37" s="68" t="s">
        <v>1134</v>
      </c>
      <c r="H37" s="68" t="n">
        <v>12</v>
      </c>
    </row>
    <row r="38" customFormat="false" ht="15" hidden="false" customHeight="false" outlineLevel="0" collapsed="false">
      <c r="A38" s="68" t="s">
        <v>1211</v>
      </c>
      <c r="B38" s="68" t="s">
        <v>1129</v>
      </c>
      <c r="C38" s="68" t="s">
        <v>1193</v>
      </c>
      <c r="D38" s="68" t="s">
        <v>1207</v>
      </c>
      <c r="E38" s="68" t="s">
        <v>1151</v>
      </c>
      <c r="F38" s="68" t="s">
        <v>1138</v>
      </c>
      <c r="G38" s="68" t="s">
        <v>1134</v>
      </c>
      <c r="H38" s="68" t="n">
        <v>62</v>
      </c>
    </row>
    <row r="39" customFormat="false" ht="15" hidden="false" customHeight="false" outlineLevel="0" collapsed="false">
      <c r="A39" s="68" t="s">
        <v>968</v>
      </c>
      <c r="B39" s="68" t="s">
        <v>1129</v>
      </c>
      <c r="C39" s="68" t="s">
        <v>1212</v>
      </c>
      <c r="D39" s="68" t="s">
        <v>1213</v>
      </c>
      <c r="E39" s="68" t="s">
        <v>1214</v>
      </c>
      <c r="F39" s="68" t="s">
        <v>1145</v>
      </c>
      <c r="G39" s="68" t="s">
        <v>1134</v>
      </c>
      <c r="H39" s="68" t="n">
        <v>11</v>
      </c>
    </row>
    <row r="40" customFormat="false" ht="15" hidden="false" customHeight="false" outlineLevel="0" collapsed="false">
      <c r="A40" s="68" t="s">
        <v>1215</v>
      </c>
      <c r="B40" s="68" t="s">
        <v>1129</v>
      </c>
      <c r="C40" s="68" t="s">
        <v>1216</v>
      </c>
      <c r="D40" s="68" t="s">
        <v>1213</v>
      </c>
      <c r="E40" s="68" t="s">
        <v>1217</v>
      </c>
      <c r="F40" s="68" t="s">
        <v>1145</v>
      </c>
      <c r="G40" s="68" t="s">
        <v>1134</v>
      </c>
      <c r="H40" s="68" t="n">
        <v>2</v>
      </c>
    </row>
    <row r="41" customFormat="false" ht="15" hidden="false" customHeight="false" outlineLevel="0" collapsed="false">
      <c r="A41" s="68" t="s">
        <v>1218</v>
      </c>
      <c r="B41" s="68" t="s">
        <v>1129</v>
      </c>
      <c r="C41" s="68" t="s">
        <v>1219</v>
      </c>
      <c r="D41" s="68" t="s">
        <v>1220</v>
      </c>
      <c r="E41" s="68" t="s">
        <v>1221</v>
      </c>
      <c r="F41" s="68" t="s">
        <v>1145</v>
      </c>
      <c r="G41" s="68" t="s">
        <v>1134</v>
      </c>
      <c r="H41" s="68" t="n">
        <v>3</v>
      </c>
    </row>
    <row r="42" customFormat="false" ht="15" hidden="false" customHeight="false" outlineLevel="0" collapsed="false">
      <c r="A42" s="68" t="s">
        <v>1222</v>
      </c>
      <c r="B42" s="68" t="s">
        <v>1129</v>
      </c>
      <c r="C42" s="68" t="s">
        <v>1223</v>
      </c>
      <c r="D42" s="68" t="s">
        <v>1224</v>
      </c>
      <c r="E42" s="68" t="s">
        <v>1144</v>
      </c>
      <c r="F42" s="68" t="s">
        <v>1145</v>
      </c>
      <c r="G42" s="68" t="s">
        <v>1134</v>
      </c>
      <c r="H42" s="68" t="n">
        <v>8</v>
      </c>
    </row>
    <row r="43" customFormat="false" ht="15" hidden="false" customHeight="false" outlineLevel="0" collapsed="false">
      <c r="A43" s="68" t="s">
        <v>1225</v>
      </c>
      <c r="B43" s="68" t="s">
        <v>1129</v>
      </c>
      <c r="C43" s="68" t="s">
        <v>1226</v>
      </c>
      <c r="D43" s="68" t="s">
        <v>1224</v>
      </c>
      <c r="E43" s="68" t="s">
        <v>1221</v>
      </c>
      <c r="F43" s="68" t="s">
        <v>1145</v>
      </c>
      <c r="G43" s="68" t="s">
        <v>1134</v>
      </c>
      <c r="H43" s="68" t="n">
        <v>3</v>
      </c>
    </row>
    <row r="44" customFormat="false" ht="15" hidden="false" customHeight="false" outlineLevel="0" collapsed="false">
      <c r="A44" s="68" t="s">
        <v>1227</v>
      </c>
      <c r="B44" s="68" t="s">
        <v>1129</v>
      </c>
      <c r="C44" s="68" t="s">
        <v>1228</v>
      </c>
      <c r="D44" s="68" t="s">
        <v>1229</v>
      </c>
      <c r="E44" s="68" t="s">
        <v>1221</v>
      </c>
      <c r="F44" s="68" t="s">
        <v>1145</v>
      </c>
      <c r="G44" s="68" t="s">
        <v>1134</v>
      </c>
      <c r="H44" s="68" t="n">
        <v>3</v>
      </c>
    </row>
    <row r="45" customFormat="false" ht="15" hidden="false" customHeight="false" outlineLevel="0" collapsed="false">
      <c r="A45" s="68" t="s">
        <v>1230</v>
      </c>
      <c r="B45" s="68" t="s">
        <v>1129</v>
      </c>
      <c r="C45" s="68" t="s">
        <v>1231</v>
      </c>
      <c r="D45" s="68" t="s">
        <v>1229</v>
      </c>
      <c r="E45" s="68" t="s">
        <v>1184</v>
      </c>
      <c r="F45" s="68" t="s">
        <v>1133</v>
      </c>
      <c r="G45" s="68" t="s">
        <v>1134</v>
      </c>
      <c r="H45" s="68" t="s">
        <v>1185</v>
      </c>
    </row>
    <row r="46" customFormat="false" ht="15" hidden="false" customHeight="false" outlineLevel="0" collapsed="false">
      <c r="A46" s="68" t="s">
        <v>1232</v>
      </c>
      <c r="B46" s="68" t="s">
        <v>1129</v>
      </c>
      <c r="C46" s="68" t="s">
        <v>1233</v>
      </c>
      <c r="D46" s="68" t="s">
        <v>1229</v>
      </c>
      <c r="E46" s="68" t="s">
        <v>1144</v>
      </c>
      <c r="F46" s="68" t="s">
        <v>1145</v>
      </c>
      <c r="G46" s="68" t="s">
        <v>1134</v>
      </c>
      <c r="H46" s="68" t="n">
        <v>8</v>
      </c>
    </row>
    <row r="47" customFormat="false" ht="15" hidden="false" customHeight="false" outlineLevel="0" collapsed="false">
      <c r="A47" s="68" t="s">
        <v>1234</v>
      </c>
      <c r="B47" s="68" t="s">
        <v>1129</v>
      </c>
      <c r="C47" s="68" t="s">
        <v>1235</v>
      </c>
      <c r="D47" s="68" t="s">
        <v>1236</v>
      </c>
      <c r="E47" s="68" t="s">
        <v>1237</v>
      </c>
      <c r="F47" s="68" t="s">
        <v>1133</v>
      </c>
      <c r="G47" s="68" t="s">
        <v>1134</v>
      </c>
      <c r="H47" s="68" t="n">
        <v>1</v>
      </c>
    </row>
    <row r="48" customFormat="false" ht="15" hidden="false" customHeight="false" outlineLevel="0" collapsed="false">
      <c r="A48" s="68" t="s">
        <v>1238</v>
      </c>
      <c r="B48" s="68" t="s">
        <v>1129</v>
      </c>
      <c r="C48" s="68" t="s">
        <v>1239</v>
      </c>
      <c r="D48" s="68" t="s">
        <v>1236</v>
      </c>
      <c r="E48" s="68" t="s">
        <v>1151</v>
      </c>
      <c r="F48" s="68" t="s">
        <v>1138</v>
      </c>
      <c r="G48" s="68" t="s">
        <v>1134</v>
      </c>
      <c r="H48" s="68" t="n">
        <v>62</v>
      </c>
    </row>
    <row r="49" customFormat="false" ht="15" hidden="false" customHeight="false" outlineLevel="0" collapsed="false">
      <c r="A49" s="68" t="s">
        <v>1240</v>
      </c>
      <c r="B49" s="68" t="s">
        <v>1129</v>
      </c>
      <c r="C49" s="68" t="s">
        <v>1241</v>
      </c>
      <c r="D49" s="68" t="s">
        <v>1242</v>
      </c>
      <c r="E49" s="68" t="s">
        <v>1151</v>
      </c>
      <c r="F49" s="68" t="s">
        <v>1138</v>
      </c>
      <c r="G49" s="68" t="s">
        <v>1134</v>
      </c>
      <c r="H49" s="68" t="n">
        <v>62</v>
      </c>
    </row>
    <row r="50" customFormat="false" ht="15" hidden="false" customHeight="false" outlineLevel="0" collapsed="false">
      <c r="A50" s="68" t="s">
        <v>1108</v>
      </c>
      <c r="B50" s="68" t="s">
        <v>1129</v>
      </c>
      <c r="C50" s="68" t="s">
        <v>1243</v>
      </c>
      <c r="D50" s="68" t="s">
        <v>1242</v>
      </c>
      <c r="E50" s="68" t="s">
        <v>1244</v>
      </c>
      <c r="F50" s="68" t="s">
        <v>1138</v>
      </c>
      <c r="G50" s="68" t="s">
        <v>1134</v>
      </c>
      <c r="H50" s="68" t="n">
        <v>63</v>
      </c>
    </row>
    <row r="51" customFormat="false" ht="15" hidden="false" customHeight="false" outlineLevel="0" collapsed="false">
      <c r="A51" s="68" t="s">
        <v>1245</v>
      </c>
      <c r="B51" s="68" t="s">
        <v>1129</v>
      </c>
      <c r="C51" s="68" t="s">
        <v>1246</v>
      </c>
      <c r="D51" s="68" t="s">
        <v>1247</v>
      </c>
      <c r="E51" s="68" t="s">
        <v>1151</v>
      </c>
      <c r="F51" s="68" t="s">
        <v>1138</v>
      </c>
      <c r="G51" s="68" t="s">
        <v>1134</v>
      </c>
      <c r="H51" s="68" t="n">
        <v>62</v>
      </c>
    </row>
    <row r="52" customFormat="false" ht="15" hidden="false" customHeight="false" outlineLevel="0" collapsed="false">
      <c r="A52" s="68" t="s">
        <v>1248</v>
      </c>
      <c r="B52" s="68" t="s">
        <v>1129</v>
      </c>
      <c r="C52" s="68" t="s">
        <v>974</v>
      </c>
      <c r="D52" s="68" t="s">
        <v>1249</v>
      </c>
      <c r="E52" s="68" t="s">
        <v>1250</v>
      </c>
      <c r="F52" s="68" t="s">
        <v>1138</v>
      </c>
      <c r="G52" s="68" t="s">
        <v>1134</v>
      </c>
      <c r="H52" s="68" t="n">
        <v>13</v>
      </c>
    </row>
    <row r="53" customFormat="false" ht="15" hidden="false" customHeight="false" outlineLevel="0" collapsed="false">
      <c r="A53" s="68" t="s">
        <v>977</v>
      </c>
      <c r="B53" s="68" t="s">
        <v>1129</v>
      </c>
      <c r="C53" s="68" t="s">
        <v>1251</v>
      </c>
      <c r="D53" s="68" t="s">
        <v>1249</v>
      </c>
      <c r="E53" s="68" t="s">
        <v>1252</v>
      </c>
      <c r="F53" s="68" t="s">
        <v>1253</v>
      </c>
      <c r="G53" s="68" t="s">
        <v>1134</v>
      </c>
      <c r="H53" s="68" t="n">
        <v>14</v>
      </c>
    </row>
    <row r="54" customFormat="false" ht="15" hidden="false" customHeight="false" outlineLevel="0" collapsed="false">
      <c r="A54" s="68" t="s">
        <v>979</v>
      </c>
      <c r="B54" s="68" t="s">
        <v>1129</v>
      </c>
      <c r="C54" s="68" t="s">
        <v>1254</v>
      </c>
      <c r="D54" s="68" t="s">
        <v>1249</v>
      </c>
      <c r="E54" s="68" t="s">
        <v>1255</v>
      </c>
      <c r="F54" s="68" t="s">
        <v>1138</v>
      </c>
      <c r="G54" s="68" t="s">
        <v>1134</v>
      </c>
      <c r="H54" s="68" t="n">
        <v>15</v>
      </c>
    </row>
    <row r="55" customFormat="false" ht="15" hidden="false" customHeight="false" outlineLevel="0" collapsed="false">
      <c r="A55" s="68" t="s">
        <v>956</v>
      </c>
      <c r="B55" s="68" t="s">
        <v>1129</v>
      </c>
      <c r="C55" s="68" t="s">
        <v>1256</v>
      </c>
      <c r="D55" s="68" t="s">
        <v>1257</v>
      </c>
      <c r="E55" s="68" t="s">
        <v>1258</v>
      </c>
      <c r="F55" s="68" t="s">
        <v>1145</v>
      </c>
      <c r="G55" s="68" t="s">
        <v>1134</v>
      </c>
      <c r="H55" s="68" t="s">
        <v>1259</v>
      </c>
    </row>
    <row r="56" customFormat="false" ht="15" hidden="false" customHeight="false" outlineLevel="0" collapsed="false">
      <c r="A56" s="68" t="s">
        <v>1260</v>
      </c>
      <c r="B56" s="68" t="s">
        <v>1129</v>
      </c>
      <c r="C56" s="68" t="s">
        <v>1261</v>
      </c>
      <c r="D56" s="68" t="s">
        <v>1257</v>
      </c>
      <c r="E56" s="68" t="s">
        <v>1262</v>
      </c>
      <c r="F56" s="68" t="s">
        <v>1145</v>
      </c>
      <c r="G56" s="68" t="s">
        <v>1134</v>
      </c>
      <c r="H56" s="68" t="n">
        <v>3</v>
      </c>
    </row>
    <row r="57" customFormat="false" ht="15" hidden="false" customHeight="false" outlineLevel="0" collapsed="false">
      <c r="A57" s="68" t="s">
        <v>1263</v>
      </c>
      <c r="B57" s="68" t="s">
        <v>1129</v>
      </c>
      <c r="C57" s="68" t="s">
        <v>1264</v>
      </c>
      <c r="D57" s="68" t="s">
        <v>1257</v>
      </c>
      <c r="E57" s="68" t="s">
        <v>1265</v>
      </c>
      <c r="F57" s="68" t="s">
        <v>1145</v>
      </c>
      <c r="G57" s="68" t="s">
        <v>1134</v>
      </c>
      <c r="H57" s="68" t="n">
        <v>2</v>
      </c>
    </row>
    <row r="58" customFormat="false" ht="15" hidden="false" customHeight="false" outlineLevel="0" collapsed="false">
      <c r="A58" s="68" t="s">
        <v>1266</v>
      </c>
      <c r="B58" s="68" t="s">
        <v>1267</v>
      </c>
      <c r="C58" s="68" t="s">
        <v>1268</v>
      </c>
      <c r="D58" s="68" t="s">
        <v>1131</v>
      </c>
      <c r="E58" s="68" t="s">
        <v>117</v>
      </c>
      <c r="F58" s="68" t="s">
        <v>1269</v>
      </c>
      <c r="G58" s="68" t="s">
        <v>1134</v>
      </c>
      <c r="H58" s="68" t="s">
        <v>1270</v>
      </c>
    </row>
    <row r="59" customFormat="false" ht="15" hidden="false" customHeight="false" outlineLevel="0" collapsed="false">
      <c r="A59" s="68" t="s">
        <v>1271</v>
      </c>
      <c r="B59" s="68" t="s">
        <v>1267</v>
      </c>
      <c r="C59" s="68" t="s">
        <v>1272</v>
      </c>
      <c r="D59" s="68" t="s">
        <v>1154</v>
      </c>
      <c r="E59" s="68" t="s">
        <v>117</v>
      </c>
      <c r="F59" s="68" t="s">
        <v>1269</v>
      </c>
      <c r="G59" s="68" t="s">
        <v>1134</v>
      </c>
      <c r="H59" s="68" t="s">
        <v>1270</v>
      </c>
    </row>
    <row r="60" customFormat="false" ht="15" hidden="false" customHeight="false" outlineLevel="0" collapsed="false">
      <c r="A60" s="68" t="s">
        <v>1273</v>
      </c>
      <c r="B60" s="68" t="s">
        <v>1267</v>
      </c>
      <c r="C60" s="68" t="s">
        <v>1274</v>
      </c>
      <c r="D60" s="68" t="s">
        <v>1154</v>
      </c>
      <c r="E60" s="68" t="s">
        <v>117</v>
      </c>
      <c r="F60" s="68" t="s">
        <v>1269</v>
      </c>
      <c r="G60" s="68" t="s">
        <v>1134</v>
      </c>
      <c r="H60" s="68" t="s">
        <v>1270</v>
      </c>
    </row>
    <row r="61" customFormat="false" ht="15" hidden="false" customHeight="false" outlineLevel="0" collapsed="false">
      <c r="A61" s="68" t="s">
        <v>1275</v>
      </c>
      <c r="B61" s="68" t="s">
        <v>1267</v>
      </c>
      <c r="C61" s="68" t="s">
        <v>1276</v>
      </c>
      <c r="D61" s="68" t="s">
        <v>1154</v>
      </c>
      <c r="E61" s="68" t="s">
        <v>117</v>
      </c>
      <c r="F61" s="68" t="s">
        <v>1269</v>
      </c>
      <c r="G61" s="68" t="s">
        <v>1134</v>
      </c>
      <c r="H61" s="68" t="s">
        <v>1270</v>
      </c>
    </row>
    <row r="62" customFormat="false" ht="28.35" hidden="false" customHeight="false" outlineLevel="0" collapsed="false">
      <c r="A62" s="68" t="s">
        <v>1277</v>
      </c>
      <c r="B62" s="68" t="s">
        <v>1267</v>
      </c>
      <c r="C62" s="68" t="s">
        <v>1278</v>
      </c>
      <c r="D62" s="68" t="s">
        <v>1279</v>
      </c>
      <c r="E62" s="68" t="s">
        <v>117</v>
      </c>
      <c r="F62" s="68" t="s">
        <v>1269</v>
      </c>
      <c r="G62" s="68" t="s">
        <v>1134</v>
      </c>
      <c r="H62" s="68" t="s">
        <v>1270</v>
      </c>
    </row>
    <row r="63" customFormat="false" ht="28.35" hidden="false" customHeight="false" outlineLevel="0" collapsed="false">
      <c r="A63" s="68" t="s">
        <v>1280</v>
      </c>
      <c r="B63" s="68" t="s">
        <v>1267</v>
      </c>
      <c r="C63" s="68" t="s">
        <v>1281</v>
      </c>
      <c r="D63" s="68" t="s">
        <v>1279</v>
      </c>
      <c r="E63" s="68" t="s">
        <v>117</v>
      </c>
      <c r="F63" s="68" t="s">
        <v>1269</v>
      </c>
      <c r="G63" s="68" t="s">
        <v>1134</v>
      </c>
      <c r="H63" s="68" t="s">
        <v>1270</v>
      </c>
    </row>
    <row r="64" customFormat="false" ht="15" hidden="false" customHeight="false" outlineLevel="0" collapsed="false">
      <c r="A64" s="68" t="s">
        <v>1282</v>
      </c>
      <c r="B64" s="68" t="s">
        <v>1267</v>
      </c>
      <c r="C64" s="68" t="s">
        <v>1283</v>
      </c>
      <c r="D64" s="68" t="s">
        <v>1213</v>
      </c>
      <c r="E64" s="68" t="s">
        <v>117</v>
      </c>
      <c r="F64" s="68" t="s">
        <v>1269</v>
      </c>
      <c r="G64" s="68" t="s">
        <v>1134</v>
      </c>
      <c r="H64" s="68" t="s">
        <v>1270</v>
      </c>
    </row>
    <row r="65" customFormat="false" ht="15" hidden="false" customHeight="false" outlineLevel="0" collapsed="false">
      <c r="A65" s="68" t="s">
        <v>1284</v>
      </c>
      <c r="B65" s="68" t="s">
        <v>1267</v>
      </c>
      <c r="C65" s="68" t="s">
        <v>1285</v>
      </c>
      <c r="D65" s="68" t="s">
        <v>1220</v>
      </c>
      <c r="E65" s="68" t="s">
        <v>117</v>
      </c>
      <c r="F65" s="68" t="s">
        <v>1269</v>
      </c>
      <c r="G65" s="68" t="s">
        <v>1134</v>
      </c>
      <c r="H65" s="68" t="s">
        <v>1270</v>
      </c>
    </row>
    <row r="66" customFormat="false" ht="15" hidden="false" customHeight="false" outlineLevel="0" collapsed="false">
      <c r="A66" s="68" t="s">
        <v>1286</v>
      </c>
      <c r="B66" s="68" t="s">
        <v>1267</v>
      </c>
      <c r="C66" s="68" t="s">
        <v>1287</v>
      </c>
      <c r="D66" s="68" t="s">
        <v>1229</v>
      </c>
      <c r="E66" s="68" t="s">
        <v>117</v>
      </c>
      <c r="F66" s="68" t="s">
        <v>1269</v>
      </c>
      <c r="G66" s="68" t="s">
        <v>1134</v>
      </c>
      <c r="H66" s="68" t="s">
        <v>1270</v>
      </c>
    </row>
    <row r="67" customFormat="false" ht="15" hidden="false" customHeight="false" outlineLevel="0" collapsed="false">
      <c r="A67" s="68" t="s">
        <v>1288</v>
      </c>
      <c r="B67" s="68" t="s">
        <v>1267</v>
      </c>
      <c r="C67" s="68" t="s">
        <v>1289</v>
      </c>
      <c r="D67" s="68" t="s">
        <v>1236</v>
      </c>
      <c r="E67" s="68" t="s">
        <v>117</v>
      </c>
      <c r="F67" s="68" t="s">
        <v>1269</v>
      </c>
      <c r="G67" s="68" t="s">
        <v>1134</v>
      </c>
      <c r="H67" s="68" t="s">
        <v>1270</v>
      </c>
    </row>
    <row r="68" customFormat="false" ht="28.35" hidden="false" customHeight="false" outlineLevel="0" collapsed="false">
      <c r="A68" s="68" t="s">
        <v>1290</v>
      </c>
      <c r="B68" s="68" t="s">
        <v>1291</v>
      </c>
      <c r="C68" s="68" t="s">
        <v>1292</v>
      </c>
      <c r="D68" s="68" t="s">
        <v>1131</v>
      </c>
      <c r="E68" s="68" t="s">
        <v>117</v>
      </c>
      <c r="F68" s="68" t="s">
        <v>1293</v>
      </c>
      <c r="G68" s="68" t="s">
        <v>1134</v>
      </c>
      <c r="H68" s="68" t="n">
        <v>16</v>
      </c>
    </row>
    <row r="69" customFormat="false" ht="28.35" hidden="false" customHeight="false" outlineLevel="0" collapsed="false">
      <c r="A69" s="68" t="s">
        <v>1294</v>
      </c>
      <c r="B69" s="68" t="s">
        <v>1291</v>
      </c>
      <c r="C69" s="68" t="s">
        <v>1295</v>
      </c>
      <c r="D69" s="68" t="s">
        <v>1154</v>
      </c>
      <c r="E69" s="68" t="s">
        <v>117</v>
      </c>
      <c r="F69" s="68" t="s">
        <v>1293</v>
      </c>
      <c r="G69" s="68" t="s">
        <v>1134</v>
      </c>
      <c r="H69" s="68" t="n">
        <v>16</v>
      </c>
    </row>
    <row r="70" customFormat="false" ht="28.35" hidden="false" customHeight="false" outlineLevel="0" collapsed="false">
      <c r="A70" s="68" t="s">
        <v>1296</v>
      </c>
      <c r="B70" s="68" t="s">
        <v>1291</v>
      </c>
      <c r="C70" s="68" t="s">
        <v>1297</v>
      </c>
      <c r="D70" s="68" t="s">
        <v>1279</v>
      </c>
      <c r="E70" s="68" t="s">
        <v>117</v>
      </c>
      <c r="F70" s="68" t="s">
        <v>1293</v>
      </c>
      <c r="G70" s="68" t="s">
        <v>1134</v>
      </c>
      <c r="H70" s="68" t="n">
        <v>16</v>
      </c>
    </row>
    <row r="71" customFormat="false" ht="28.35" hidden="false" customHeight="false" outlineLevel="0" collapsed="false">
      <c r="A71" s="68" t="s">
        <v>1298</v>
      </c>
      <c r="B71" s="68" t="s">
        <v>1291</v>
      </c>
      <c r="C71" s="68" t="s">
        <v>1299</v>
      </c>
      <c r="D71" s="68" t="s">
        <v>1224</v>
      </c>
      <c r="E71" s="68" t="s">
        <v>117</v>
      </c>
      <c r="F71" s="68" t="s">
        <v>1293</v>
      </c>
      <c r="G71" s="68" t="s">
        <v>1134</v>
      </c>
      <c r="H71" s="68" t="n">
        <v>16</v>
      </c>
    </row>
    <row r="72" customFormat="false" ht="28.35" hidden="false" customHeight="false" outlineLevel="0" collapsed="false">
      <c r="A72" s="68" t="s">
        <v>1300</v>
      </c>
      <c r="B72" s="68" t="s">
        <v>1291</v>
      </c>
      <c r="C72" s="68" t="s">
        <v>1301</v>
      </c>
      <c r="D72" s="68" t="s">
        <v>1229</v>
      </c>
      <c r="E72" s="68" t="s">
        <v>117</v>
      </c>
      <c r="F72" s="68" t="s">
        <v>1293</v>
      </c>
      <c r="G72" s="68" t="s">
        <v>1134</v>
      </c>
      <c r="H72" s="68" t="n">
        <v>16</v>
      </c>
    </row>
    <row r="73" customFormat="false" ht="28.35" hidden="false" customHeight="false" outlineLevel="0" collapsed="false">
      <c r="A73" s="68" t="s">
        <v>1302</v>
      </c>
      <c r="B73" s="68" t="s">
        <v>1291</v>
      </c>
      <c r="C73" s="68" t="s">
        <v>1303</v>
      </c>
      <c r="D73" s="68" t="s">
        <v>1213</v>
      </c>
      <c r="E73" s="68" t="s">
        <v>117</v>
      </c>
      <c r="F73" s="68" t="s">
        <v>1293</v>
      </c>
      <c r="G73" s="68" t="s">
        <v>1134</v>
      </c>
      <c r="H73" s="68" t="n">
        <v>16</v>
      </c>
    </row>
    <row r="74" customFormat="false" ht="28.35" hidden="false" customHeight="false" outlineLevel="0" collapsed="false">
      <c r="A74" s="68" t="s">
        <v>1304</v>
      </c>
      <c r="B74" s="68" t="s">
        <v>1291</v>
      </c>
      <c r="C74" s="68" t="s">
        <v>1305</v>
      </c>
      <c r="D74" s="68" t="s">
        <v>1131</v>
      </c>
      <c r="E74" s="68" t="s">
        <v>117</v>
      </c>
      <c r="F74" s="68" t="s">
        <v>1293</v>
      </c>
      <c r="G74" s="68" t="s">
        <v>1134</v>
      </c>
      <c r="H74" s="68" t="n">
        <v>17</v>
      </c>
    </row>
    <row r="75" customFormat="false" ht="28.35" hidden="false" customHeight="false" outlineLevel="0" collapsed="false">
      <c r="A75" s="68" t="s">
        <v>1306</v>
      </c>
      <c r="B75" s="68" t="s">
        <v>1291</v>
      </c>
      <c r="C75" s="68" t="s">
        <v>1307</v>
      </c>
      <c r="D75" s="68" t="s">
        <v>1154</v>
      </c>
      <c r="E75" s="68" t="s">
        <v>117</v>
      </c>
      <c r="F75" s="68" t="s">
        <v>1293</v>
      </c>
      <c r="G75" s="68" t="s">
        <v>1134</v>
      </c>
      <c r="H75" s="68" t="n">
        <v>17</v>
      </c>
    </row>
    <row r="76" customFormat="false" ht="28.35" hidden="false" customHeight="false" outlineLevel="0" collapsed="false">
      <c r="A76" s="68" t="s">
        <v>1308</v>
      </c>
      <c r="B76" s="68" t="s">
        <v>1291</v>
      </c>
      <c r="C76" s="68" t="s">
        <v>1309</v>
      </c>
      <c r="D76" s="68" t="s">
        <v>1154</v>
      </c>
      <c r="E76" s="68" t="s">
        <v>117</v>
      </c>
      <c r="F76" s="68" t="s">
        <v>1293</v>
      </c>
      <c r="G76" s="68" t="s">
        <v>1134</v>
      </c>
      <c r="H76" s="68" t="n">
        <v>17</v>
      </c>
    </row>
    <row r="77" customFormat="false" ht="28.35" hidden="false" customHeight="false" outlineLevel="0" collapsed="false">
      <c r="A77" s="68" t="s">
        <v>1310</v>
      </c>
      <c r="B77" s="68" t="s">
        <v>1291</v>
      </c>
      <c r="C77" s="68" t="s">
        <v>1311</v>
      </c>
      <c r="D77" s="68" t="s">
        <v>1279</v>
      </c>
      <c r="E77" s="68" t="s">
        <v>117</v>
      </c>
      <c r="F77" s="68" t="s">
        <v>1293</v>
      </c>
      <c r="G77" s="68" t="s">
        <v>1134</v>
      </c>
      <c r="H77" s="68" t="n">
        <v>17</v>
      </c>
    </row>
    <row r="78" customFormat="false" ht="28.35" hidden="false" customHeight="false" outlineLevel="0" collapsed="false">
      <c r="A78" s="68" t="s">
        <v>1312</v>
      </c>
      <c r="B78" s="68" t="s">
        <v>1291</v>
      </c>
      <c r="C78" s="68" t="s">
        <v>1313</v>
      </c>
      <c r="D78" s="68" t="s">
        <v>1220</v>
      </c>
      <c r="E78" s="68" t="s">
        <v>117</v>
      </c>
      <c r="F78" s="68" t="s">
        <v>1293</v>
      </c>
      <c r="G78" s="68" t="s">
        <v>1134</v>
      </c>
      <c r="H78" s="68" t="n">
        <v>17</v>
      </c>
    </row>
    <row r="79" customFormat="false" ht="28.35" hidden="false" customHeight="false" outlineLevel="0" collapsed="false">
      <c r="A79" s="68" t="s">
        <v>1314</v>
      </c>
      <c r="B79" s="68" t="s">
        <v>1291</v>
      </c>
      <c r="C79" s="68" t="s">
        <v>1315</v>
      </c>
      <c r="D79" s="68" t="s">
        <v>1229</v>
      </c>
      <c r="E79" s="68" t="s">
        <v>117</v>
      </c>
      <c r="F79" s="68" t="s">
        <v>1293</v>
      </c>
      <c r="G79" s="68" t="s">
        <v>1134</v>
      </c>
      <c r="H79" s="68" t="n">
        <v>17</v>
      </c>
    </row>
    <row r="80" customFormat="false" ht="28.35" hidden="false" customHeight="false" outlineLevel="0" collapsed="false">
      <c r="A80" s="68" t="s">
        <v>988</v>
      </c>
      <c r="B80" s="68" t="s">
        <v>1291</v>
      </c>
      <c r="C80" s="68" t="s">
        <v>1316</v>
      </c>
      <c r="D80" s="68" t="s">
        <v>1154</v>
      </c>
      <c r="E80" s="68" t="s">
        <v>117</v>
      </c>
      <c r="F80" s="68" t="s">
        <v>1293</v>
      </c>
      <c r="G80" s="68" t="s">
        <v>1134</v>
      </c>
      <c r="H80" s="68" t="n">
        <v>18</v>
      </c>
    </row>
    <row r="81" customFormat="false" ht="28.35" hidden="false" customHeight="false" outlineLevel="0" collapsed="false">
      <c r="A81" s="68" t="s">
        <v>1317</v>
      </c>
      <c r="B81" s="68" t="s">
        <v>1291</v>
      </c>
      <c r="C81" s="68" t="s">
        <v>1318</v>
      </c>
      <c r="D81" s="68" t="s">
        <v>1131</v>
      </c>
      <c r="E81" s="68" t="s">
        <v>117</v>
      </c>
      <c r="F81" s="68" t="s">
        <v>1293</v>
      </c>
      <c r="G81" s="68" t="s">
        <v>1134</v>
      </c>
      <c r="H81" s="68" t="n">
        <v>19</v>
      </c>
    </row>
    <row r="82" customFormat="false" ht="28.35" hidden="false" customHeight="false" outlineLevel="0" collapsed="false">
      <c r="A82" s="68" t="s">
        <v>1319</v>
      </c>
      <c r="B82" s="68" t="s">
        <v>1291</v>
      </c>
      <c r="C82" s="68" t="s">
        <v>1320</v>
      </c>
      <c r="D82" s="68" t="s">
        <v>1154</v>
      </c>
      <c r="E82" s="68" t="s">
        <v>117</v>
      </c>
      <c r="F82" s="68" t="s">
        <v>1293</v>
      </c>
      <c r="G82" s="68" t="s">
        <v>1134</v>
      </c>
      <c r="H82" s="68" t="n">
        <v>19</v>
      </c>
    </row>
    <row r="83" customFormat="false" ht="28.35" hidden="false" customHeight="false" outlineLevel="0" collapsed="false">
      <c r="A83" s="68" t="s">
        <v>1321</v>
      </c>
      <c r="B83" s="68" t="s">
        <v>1291</v>
      </c>
      <c r="C83" s="68" t="s">
        <v>1322</v>
      </c>
      <c r="D83" s="68" t="s">
        <v>1323</v>
      </c>
      <c r="E83" s="68" t="s">
        <v>117</v>
      </c>
      <c r="F83" s="68" t="s">
        <v>1293</v>
      </c>
      <c r="G83" s="68" t="s">
        <v>1134</v>
      </c>
      <c r="H83" s="68" t="n">
        <v>19</v>
      </c>
    </row>
    <row r="84" customFormat="false" ht="28.35" hidden="false" customHeight="false" outlineLevel="0" collapsed="false">
      <c r="A84" s="68" t="s">
        <v>1324</v>
      </c>
      <c r="B84" s="68" t="s">
        <v>1291</v>
      </c>
      <c r="C84" s="68" t="s">
        <v>1325</v>
      </c>
      <c r="D84" s="68" t="s">
        <v>1279</v>
      </c>
      <c r="E84" s="68" t="s">
        <v>117</v>
      </c>
      <c r="F84" s="68" t="s">
        <v>1293</v>
      </c>
      <c r="G84" s="68" t="s">
        <v>1134</v>
      </c>
      <c r="H84" s="68" t="n">
        <v>19</v>
      </c>
    </row>
    <row r="85" customFormat="false" ht="28.35" hidden="false" customHeight="false" outlineLevel="0" collapsed="false">
      <c r="A85" s="68" t="s">
        <v>1326</v>
      </c>
      <c r="B85" s="68" t="s">
        <v>1291</v>
      </c>
      <c r="C85" s="68" t="s">
        <v>1327</v>
      </c>
      <c r="D85" s="68" t="s">
        <v>1328</v>
      </c>
      <c r="E85" s="68" t="s">
        <v>117</v>
      </c>
      <c r="F85" s="68" t="s">
        <v>1293</v>
      </c>
      <c r="G85" s="68" t="s">
        <v>1134</v>
      </c>
      <c r="H85" s="68" t="n">
        <v>19</v>
      </c>
    </row>
    <row r="86" customFormat="false" ht="28.35" hidden="false" customHeight="false" outlineLevel="0" collapsed="false">
      <c r="A86" s="68" t="s">
        <v>1329</v>
      </c>
      <c r="B86" s="68" t="s">
        <v>1291</v>
      </c>
      <c r="C86" s="68" t="s">
        <v>1330</v>
      </c>
      <c r="D86" s="68" t="s">
        <v>1236</v>
      </c>
      <c r="E86" s="68" t="s">
        <v>117</v>
      </c>
      <c r="F86" s="68" t="s">
        <v>1293</v>
      </c>
      <c r="G86" s="68" t="s">
        <v>1134</v>
      </c>
      <c r="H86" s="68" t="n">
        <v>19</v>
      </c>
    </row>
    <row r="87" customFormat="false" ht="28.35" hidden="false" customHeight="false" outlineLevel="0" collapsed="false">
      <c r="A87" s="68" t="s">
        <v>1331</v>
      </c>
      <c r="B87" s="68" t="s">
        <v>1291</v>
      </c>
      <c r="C87" s="68" t="s">
        <v>1332</v>
      </c>
      <c r="D87" s="68" t="s">
        <v>1131</v>
      </c>
      <c r="E87" s="68" t="s">
        <v>117</v>
      </c>
      <c r="F87" s="68" t="s">
        <v>1293</v>
      </c>
      <c r="G87" s="68" t="s">
        <v>1333</v>
      </c>
      <c r="H87" s="68" t="s">
        <v>117</v>
      </c>
    </row>
    <row r="88" customFormat="false" ht="28.35" hidden="false" customHeight="false" outlineLevel="0" collapsed="false">
      <c r="A88" s="68" t="s">
        <v>1334</v>
      </c>
      <c r="B88" s="68" t="s">
        <v>1291</v>
      </c>
      <c r="C88" s="68" t="s">
        <v>1335</v>
      </c>
      <c r="D88" s="68" t="s">
        <v>1154</v>
      </c>
      <c r="E88" s="68" t="s">
        <v>117</v>
      </c>
      <c r="F88" s="68" t="s">
        <v>1293</v>
      </c>
      <c r="G88" s="68" t="s">
        <v>1333</v>
      </c>
      <c r="H88" s="68" t="s">
        <v>117</v>
      </c>
    </row>
    <row r="89" customFormat="false" ht="28.35" hidden="false" customHeight="false" outlineLevel="0" collapsed="false">
      <c r="A89" s="68" t="s">
        <v>1336</v>
      </c>
      <c r="B89" s="68" t="s">
        <v>1291</v>
      </c>
      <c r="C89" s="68" t="s">
        <v>1337</v>
      </c>
      <c r="D89" s="68" t="s">
        <v>1213</v>
      </c>
      <c r="E89" s="68" t="s">
        <v>117</v>
      </c>
      <c r="F89" s="68" t="s">
        <v>1293</v>
      </c>
      <c r="G89" s="68" t="s">
        <v>1333</v>
      </c>
      <c r="H89" s="68" t="s">
        <v>117</v>
      </c>
    </row>
    <row r="90" customFormat="false" ht="28.35" hidden="false" customHeight="false" outlineLevel="0" collapsed="false">
      <c r="A90" s="68" t="s">
        <v>1338</v>
      </c>
      <c r="B90" s="68" t="s">
        <v>1291</v>
      </c>
      <c r="C90" s="68" t="s">
        <v>1339</v>
      </c>
      <c r="D90" s="68" t="s">
        <v>1236</v>
      </c>
      <c r="E90" s="68" t="s">
        <v>117</v>
      </c>
      <c r="F90" s="68" t="s">
        <v>1293</v>
      </c>
      <c r="G90" s="68" t="s">
        <v>1333</v>
      </c>
      <c r="H90" s="68" t="s">
        <v>117</v>
      </c>
    </row>
    <row r="92" customFormat="false" ht="15" hidden="false" customHeight="false" outlineLevel="0" collapsed="false">
      <c r="A92" s="0" t="s">
        <v>1340</v>
      </c>
      <c r="C92" s="0" t="n">
        <f aca="false">COUNTIF(B5:B90,"Sensor")</f>
        <v>53</v>
      </c>
    </row>
    <row r="93" customFormat="false" ht="15" hidden="false" customHeight="false" outlineLevel="0" collapsed="false">
      <c r="A93" s="0" t="s">
        <v>1341</v>
      </c>
      <c r="C93" s="0" t="n">
        <f aca="false">COUNTIF(B5:B90,"Función en el PLC")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2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9" min="6" style="1" width="6"/>
    <col collapsed="false" customWidth="true" hidden="false" outlineLevel="0" max="10" min="10" style="1" width="8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16"/>
    <col collapsed="false" customWidth="true" hidden="false" outlineLevel="0" max="14" min="14" style="1" width="17"/>
    <col collapsed="false" customWidth="true" hidden="false" outlineLevel="0" max="16" min="15" style="1" width="11"/>
    <col collapsed="false" customWidth="true" hidden="false" outlineLevel="0" max="17" min="17" style="1" width="2"/>
    <col collapsed="false" customWidth="true" hidden="false" outlineLevel="0" max="67" min="18" style="1" width="2.6"/>
  </cols>
  <sheetData>
    <row r="1" customFormat="false" ht="17.25" hidden="false" customHeight="true" outlineLevel="0" collapsed="false">
      <c r="A1" s="2" t="s">
        <v>1342</v>
      </c>
    </row>
    <row r="2" customFormat="false" ht="15" hidden="false" customHeight="true" outlineLevel="0" collapsed="false">
      <c r="A2" s="3" t="s">
        <v>1343</v>
      </c>
    </row>
    <row r="3" customFormat="false" ht="79.5" hidden="false" customHeight="true" outlineLevel="0" collapsed="false">
      <c r="A3" s="5" t="s">
        <v>1344</v>
      </c>
      <c r="C3" s="69" t="n">
        <v>46398</v>
      </c>
    </row>
    <row r="4" customFormat="false" ht="157.5" hidden="false" customHeight="true" outlineLevel="0" collapsed="false">
      <c r="R4" s="5" t="s">
        <v>1345</v>
      </c>
    </row>
    <row r="5" customFormat="false" ht="23.25" hidden="false" customHeight="true" outlineLevel="0" collapsed="false">
      <c r="A5" s="4" t="s">
        <v>1346</v>
      </c>
      <c r="B5" s="4" t="s">
        <v>1347</v>
      </c>
      <c r="C5" s="4" t="s">
        <v>1348</v>
      </c>
      <c r="D5" s="4" t="s">
        <v>1349</v>
      </c>
      <c r="E5" s="4" t="s">
        <v>1350</v>
      </c>
      <c r="F5" s="4" t="s">
        <v>1351</v>
      </c>
      <c r="G5" s="4" t="s">
        <v>1352</v>
      </c>
      <c r="H5" s="4" t="s">
        <v>1353</v>
      </c>
      <c r="I5" s="4" t="s">
        <v>1354</v>
      </c>
      <c r="J5" s="4" t="s">
        <v>1355</v>
      </c>
      <c r="K5" s="4" t="s">
        <v>1356</v>
      </c>
      <c r="L5" s="4" t="s">
        <v>1357</v>
      </c>
      <c r="M5" s="4" t="s">
        <v>1358</v>
      </c>
      <c r="N5" s="4" t="s">
        <v>1359</v>
      </c>
      <c r="O5" s="4" t="s">
        <v>1360</v>
      </c>
      <c r="P5" s="4" t="s">
        <v>1361</v>
      </c>
      <c r="Q5" s="4" t="s">
        <v>1362</v>
      </c>
      <c r="R5" s="70" t="n">
        <v>1</v>
      </c>
      <c r="S5" s="70" t="n">
        <v>2</v>
      </c>
      <c r="T5" s="70" t="n">
        <v>3</v>
      </c>
      <c r="U5" s="70" t="n">
        <v>4</v>
      </c>
      <c r="V5" s="70" t="n">
        <v>5</v>
      </c>
      <c r="W5" s="70" t="n">
        <v>6</v>
      </c>
      <c r="X5" s="70" t="n">
        <v>7</v>
      </c>
      <c r="Y5" s="70" t="n">
        <v>8</v>
      </c>
      <c r="Z5" s="70" t="n">
        <v>9</v>
      </c>
      <c r="AA5" s="70" t="n">
        <v>10</v>
      </c>
      <c r="AB5" s="70" t="n">
        <v>11</v>
      </c>
      <c r="AC5" s="70" t="n">
        <v>12</v>
      </c>
      <c r="AD5" s="70" t="n">
        <v>13</v>
      </c>
      <c r="AE5" s="70" t="n">
        <v>14</v>
      </c>
      <c r="AF5" s="70" t="n">
        <v>15</v>
      </c>
      <c r="AG5" s="70" t="n">
        <v>16</v>
      </c>
      <c r="AH5" s="70" t="n">
        <v>17</v>
      </c>
      <c r="AI5" s="70" t="n">
        <v>18</v>
      </c>
      <c r="AJ5" s="70" t="n">
        <v>19</v>
      </c>
      <c r="AK5" s="70" t="n">
        <v>20</v>
      </c>
      <c r="AL5" s="70" t="n">
        <v>21</v>
      </c>
      <c r="AM5" s="70" t="n">
        <v>22</v>
      </c>
      <c r="AN5" s="70" t="n">
        <v>23</v>
      </c>
      <c r="AO5" s="70" t="n">
        <v>24</v>
      </c>
      <c r="AP5" s="70" t="n">
        <v>25</v>
      </c>
      <c r="AQ5" s="70" t="n">
        <v>26</v>
      </c>
      <c r="AR5" s="70" t="n">
        <v>27</v>
      </c>
      <c r="AS5" s="70" t="n">
        <v>28</v>
      </c>
      <c r="AT5" s="70" t="n">
        <v>29</v>
      </c>
      <c r="AU5" s="70" t="n">
        <v>30</v>
      </c>
      <c r="AV5" s="70" t="n">
        <v>31</v>
      </c>
      <c r="AW5" s="70" t="n">
        <v>32</v>
      </c>
      <c r="AX5" s="70" t="n">
        <v>33</v>
      </c>
      <c r="AY5" s="70" t="n">
        <v>34</v>
      </c>
      <c r="AZ5" s="70" t="n">
        <v>35</v>
      </c>
      <c r="BA5" s="70" t="n">
        <v>36</v>
      </c>
      <c r="BB5" s="70" t="n">
        <v>37</v>
      </c>
      <c r="BC5" s="70" t="n">
        <v>38</v>
      </c>
      <c r="BD5" s="70" t="n">
        <v>39</v>
      </c>
      <c r="BE5" s="70" t="n">
        <v>40</v>
      </c>
      <c r="BF5" s="70" t="n">
        <v>41</v>
      </c>
      <c r="BG5" s="70" t="n">
        <v>42</v>
      </c>
      <c r="BH5" s="70" t="n">
        <v>43</v>
      </c>
      <c r="BI5" s="70" t="n">
        <v>44</v>
      </c>
      <c r="BJ5" s="70" t="n">
        <v>45</v>
      </c>
      <c r="BK5" s="70" t="n">
        <v>46</v>
      </c>
      <c r="BL5" s="70" t="n">
        <v>47</v>
      </c>
      <c r="BM5" s="70" t="n">
        <v>48</v>
      </c>
      <c r="BN5" s="70" t="n">
        <v>49</v>
      </c>
      <c r="BO5" s="70" t="n">
        <v>50</v>
      </c>
      <c r="BQ5" s="4" t="s">
        <v>1363</v>
      </c>
      <c r="BR5" s="4" t="s">
        <v>1364</v>
      </c>
      <c r="BS5" s="4" t="s">
        <v>1365</v>
      </c>
      <c r="BT5" s="4" t="s">
        <v>1366</v>
      </c>
      <c r="BU5" s="4" t="s">
        <v>1367</v>
      </c>
      <c r="BV5" s="4" t="s">
        <v>1368</v>
      </c>
      <c r="BW5" s="4" t="s">
        <v>1369</v>
      </c>
      <c r="BX5" s="4" t="s">
        <v>1370</v>
      </c>
      <c r="BY5" s="4" t="s">
        <v>1371</v>
      </c>
      <c r="BZ5" s="4" t="s">
        <v>1372</v>
      </c>
      <c r="CA5" s="4" t="s">
        <v>1373</v>
      </c>
      <c r="CB5" s="4" t="s">
        <v>1374</v>
      </c>
      <c r="CC5" s="4" t="s">
        <v>1375</v>
      </c>
    </row>
    <row r="6" customFormat="false" ht="15" hidden="false" customHeight="true" outlineLevel="0" collapsed="false">
      <c r="A6" s="7" t="s">
        <v>1376</v>
      </c>
      <c r="B6" s="7" t="s">
        <v>1377</v>
      </c>
      <c r="C6" s="7" t="s">
        <v>1378</v>
      </c>
      <c r="D6" s="30" t="n">
        <v>1</v>
      </c>
      <c r="E6" s="7" t="s">
        <v>117</v>
      </c>
      <c r="F6" s="30" t="n">
        <f aca="false">0+Q6</f>
        <v>0</v>
      </c>
      <c r="G6" s="32" t="n">
        <f aca="false">F6+D6</f>
        <v>1</v>
      </c>
      <c r="H6" s="32" t="n">
        <f aca="false">I6-D6</f>
        <v>0</v>
      </c>
      <c r="I6" s="32" t="n">
        <f aca="false">MIN(H7,H9)</f>
        <v>1</v>
      </c>
      <c r="J6" s="32" t="n">
        <f aca="false">H6-F6</f>
        <v>0</v>
      </c>
      <c r="K6" s="71" t="str">
        <f aca="false">IF(J6=0,"Sí","")</f>
        <v>Sí</v>
      </c>
      <c r="L6" s="72" t="n">
        <f aca="false">SUM(BQ6:BV6)</f>
        <v>80</v>
      </c>
      <c r="M6" s="33" t="n">
        <f aca="false">SUMIFS(Cotizaciones!$J$5:$J$70,Cotizaciones!$C$5:$C$70,A6)</f>
        <v>0</v>
      </c>
      <c r="N6" s="32" t="n">
        <f aca="false">(L6*Supuestos!$B$47+M6*(1+Supuestos!$B$50))*(1+Supuestos!$B$51)/(1-Supuestos!$B$52)</f>
        <v>12995951.417004</v>
      </c>
      <c r="O6" s="73" t="n">
        <f aca="false">$C$3+F6*7</f>
        <v>46398</v>
      </c>
      <c r="P6" s="73" t="n">
        <f aca="false">$C$3+G6*7-IF(D6&gt;0,1,0)</f>
        <v>46404</v>
      </c>
      <c r="Q6" s="74" t="n">
        <v>0</v>
      </c>
      <c r="R6" s="75" t="n">
        <f aca="false">IF(AND(R$5&gt;$F6,R$5&lt;=$G6),IF($K6="Sí",2,1),IF(AND($D6=0,R$5=$G6),3,""))</f>
        <v>2</v>
      </c>
      <c r="S6" s="75" t="str">
        <f aca="false">IF(AND(S$5&gt;$F6,S$5&lt;=$G6),IF($K6="Sí",2,1),IF(AND($D6=0,S$5=$G6),3,""))</f>
        <v/>
      </c>
      <c r="T6" s="75" t="str">
        <f aca="false">IF(AND(T$5&gt;$F6,T$5&lt;=$G6),IF($K6="Sí",2,1),IF(AND($D6=0,T$5=$G6),3,""))</f>
        <v/>
      </c>
      <c r="U6" s="75" t="str">
        <f aca="false">IF(AND(U$5&gt;$F6,U$5&lt;=$G6),IF($K6="Sí",2,1),IF(AND($D6=0,U$5=$G6),3,""))</f>
        <v/>
      </c>
      <c r="V6" s="75" t="str">
        <f aca="false">IF(AND(V$5&gt;$F6,V$5&lt;=$G6),IF($K6="Sí",2,1),IF(AND($D6=0,V$5=$G6),3,""))</f>
        <v/>
      </c>
      <c r="W6" s="75" t="str">
        <f aca="false">IF(AND(W$5&gt;$F6,W$5&lt;=$G6),IF($K6="Sí",2,1),IF(AND($D6=0,W$5=$G6),3,""))</f>
        <v/>
      </c>
      <c r="X6" s="75" t="str">
        <f aca="false">IF(AND(X$5&gt;$F6,X$5&lt;=$G6),IF($K6="Sí",2,1),IF(AND($D6=0,X$5=$G6),3,""))</f>
        <v/>
      </c>
      <c r="Y6" s="75" t="str">
        <f aca="false">IF(AND(Y$5&gt;$F6,Y$5&lt;=$G6),IF($K6="Sí",2,1),IF(AND($D6=0,Y$5=$G6),3,""))</f>
        <v/>
      </c>
      <c r="Z6" s="75" t="str">
        <f aca="false">IF(AND(Z$5&gt;$F6,Z$5&lt;=$G6),IF($K6="Sí",2,1),IF(AND($D6=0,Z$5=$G6),3,""))</f>
        <v/>
      </c>
      <c r="AA6" s="75" t="str">
        <f aca="false">IF(AND(AA$5&gt;$F6,AA$5&lt;=$G6),IF($K6="Sí",2,1),IF(AND($D6=0,AA$5=$G6),3,""))</f>
        <v/>
      </c>
      <c r="AB6" s="75" t="str">
        <f aca="false">IF(AND(AB$5&gt;$F6,AB$5&lt;=$G6),IF($K6="Sí",2,1),IF(AND($D6=0,AB$5=$G6),3,""))</f>
        <v/>
      </c>
      <c r="AC6" s="75" t="str">
        <f aca="false">IF(AND(AC$5&gt;$F6,AC$5&lt;=$G6),IF($K6="Sí",2,1),IF(AND($D6=0,AC$5=$G6),3,""))</f>
        <v/>
      </c>
      <c r="AD6" s="75" t="str">
        <f aca="false">IF(AND(AD$5&gt;$F6,AD$5&lt;=$G6),IF($K6="Sí",2,1),IF(AND($D6=0,AD$5=$G6),3,""))</f>
        <v/>
      </c>
      <c r="AE6" s="75" t="str">
        <f aca="false">IF(AND(AE$5&gt;$F6,AE$5&lt;=$G6),IF($K6="Sí",2,1),IF(AND($D6=0,AE$5=$G6),3,""))</f>
        <v/>
      </c>
      <c r="AF6" s="75" t="str">
        <f aca="false">IF(AND(AF$5&gt;$F6,AF$5&lt;=$G6),IF($K6="Sí",2,1),IF(AND($D6=0,AF$5=$G6),3,""))</f>
        <v/>
      </c>
      <c r="AG6" s="75" t="str">
        <f aca="false">IF(AND(AG$5&gt;$F6,AG$5&lt;=$G6),IF($K6="Sí",2,1),IF(AND($D6=0,AG$5=$G6),3,""))</f>
        <v/>
      </c>
      <c r="AH6" s="75" t="str">
        <f aca="false">IF(AND(AH$5&gt;$F6,AH$5&lt;=$G6),IF($K6="Sí",2,1),IF(AND($D6=0,AH$5=$G6),3,""))</f>
        <v/>
      </c>
      <c r="AI6" s="75" t="str">
        <f aca="false">IF(AND(AI$5&gt;$F6,AI$5&lt;=$G6),IF($K6="Sí",2,1),IF(AND($D6=0,AI$5=$G6),3,""))</f>
        <v/>
      </c>
      <c r="AJ6" s="75" t="str">
        <f aca="false">IF(AND(AJ$5&gt;$F6,AJ$5&lt;=$G6),IF($K6="Sí",2,1),IF(AND($D6=0,AJ$5=$G6),3,""))</f>
        <v/>
      </c>
      <c r="AK6" s="75" t="str">
        <f aca="false">IF(AND(AK$5&gt;$F6,AK$5&lt;=$G6),IF($K6="Sí",2,1),IF(AND($D6=0,AK$5=$G6),3,""))</f>
        <v/>
      </c>
      <c r="AL6" s="75" t="str">
        <f aca="false">IF(AND(AL$5&gt;$F6,AL$5&lt;=$G6),IF($K6="Sí",2,1),IF(AND($D6=0,AL$5=$G6),3,""))</f>
        <v/>
      </c>
      <c r="AM6" s="75" t="str">
        <f aca="false">IF(AND(AM$5&gt;$F6,AM$5&lt;=$G6),IF($K6="Sí",2,1),IF(AND($D6=0,AM$5=$G6),3,""))</f>
        <v/>
      </c>
      <c r="AN6" s="75" t="str">
        <f aca="false">IF(AND(AN$5&gt;$F6,AN$5&lt;=$G6),IF($K6="Sí",2,1),IF(AND($D6=0,AN$5=$G6),3,""))</f>
        <v/>
      </c>
      <c r="AO6" s="75" t="str">
        <f aca="false">IF(AND(AO$5&gt;$F6,AO$5&lt;=$G6),IF($K6="Sí",2,1),IF(AND($D6=0,AO$5=$G6),3,""))</f>
        <v/>
      </c>
      <c r="AP6" s="75" t="str">
        <f aca="false">IF(AND(AP$5&gt;$F6,AP$5&lt;=$G6),IF($K6="Sí",2,1),IF(AND($D6=0,AP$5=$G6),3,""))</f>
        <v/>
      </c>
      <c r="AQ6" s="75" t="str">
        <f aca="false">IF(AND(AQ$5&gt;$F6,AQ$5&lt;=$G6),IF($K6="Sí",2,1),IF(AND($D6=0,AQ$5=$G6),3,""))</f>
        <v/>
      </c>
      <c r="AR6" s="75" t="str">
        <f aca="false">IF(AND(AR$5&gt;$F6,AR$5&lt;=$G6),IF($K6="Sí",2,1),IF(AND($D6=0,AR$5=$G6),3,""))</f>
        <v/>
      </c>
      <c r="AS6" s="75" t="str">
        <f aca="false">IF(AND(AS$5&gt;$F6,AS$5&lt;=$G6),IF($K6="Sí",2,1),IF(AND($D6=0,AS$5=$G6),3,""))</f>
        <v/>
      </c>
      <c r="AT6" s="75" t="str">
        <f aca="false">IF(AND(AT$5&gt;$F6,AT$5&lt;=$G6),IF($K6="Sí",2,1),IF(AND($D6=0,AT$5=$G6),3,""))</f>
        <v/>
      </c>
      <c r="AU6" s="75" t="str">
        <f aca="false">IF(AND(AU$5&gt;$F6,AU$5&lt;=$G6),IF($K6="Sí",2,1),IF(AND($D6=0,AU$5=$G6),3,""))</f>
        <v/>
      </c>
      <c r="AV6" s="75" t="str">
        <f aca="false">IF(AND(AV$5&gt;$F6,AV$5&lt;=$G6),IF($K6="Sí",2,1),IF(AND($D6=0,AV$5=$G6),3,""))</f>
        <v/>
      </c>
      <c r="AW6" s="75" t="str">
        <f aca="false">IF(AND(AW$5&gt;$F6,AW$5&lt;=$G6),IF($K6="Sí",2,1),IF(AND($D6=0,AW$5=$G6),3,""))</f>
        <v/>
      </c>
      <c r="AX6" s="75" t="str">
        <f aca="false">IF(AND(AX$5&gt;$F6,AX$5&lt;=$G6),IF($K6="Sí",2,1),IF(AND($D6=0,AX$5=$G6),3,""))</f>
        <v/>
      </c>
      <c r="AY6" s="75" t="str">
        <f aca="false">IF(AND(AY$5&gt;$F6,AY$5&lt;=$G6),IF($K6="Sí",2,1),IF(AND($D6=0,AY$5=$G6),3,""))</f>
        <v/>
      </c>
      <c r="AZ6" s="75" t="str">
        <f aca="false">IF(AND(AZ$5&gt;$F6,AZ$5&lt;=$G6),IF($K6="Sí",2,1),IF(AND($D6=0,AZ$5=$G6),3,""))</f>
        <v/>
      </c>
      <c r="BA6" s="75" t="str">
        <f aca="false">IF(AND(BA$5&gt;$F6,BA$5&lt;=$G6),IF($K6="Sí",2,1),IF(AND($D6=0,BA$5=$G6),3,""))</f>
        <v/>
      </c>
      <c r="BB6" s="75" t="str">
        <f aca="false">IF(AND(BB$5&gt;$F6,BB$5&lt;=$G6),IF($K6="Sí",2,1),IF(AND($D6=0,BB$5=$G6),3,""))</f>
        <v/>
      </c>
      <c r="BC6" s="75" t="str">
        <f aca="false">IF(AND(BC$5&gt;$F6,BC$5&lt;=$G6),IF($K6="Sí",2,1),IF(AND($D6=0,BC$5=$G6),3,""))</f>
        <v/>
      </c>
      <c r="BD6" s="75" t="str">
        <f aca="false">IF(AND(BD$5&gt;$F6,BD$5&lt;=$G6),IF($K6="Sí",2,1),IF(AND($D6=0,BD$5=$G6),3,""))</f>
        <v/>
      </c>
      <c r="BE6" s="75" t="str">
        <f aca="false">IF(AND(BE$5&gt;$F6,BE$5&lt;=$G6),IF($K6="Sí",2,1),IF(AND($D6=0,BE$5=$G6),3,""))</f>
        <v/>
      </c>
      <c r="BF6" s="75" t="str">
        <f aca="false">IF(AND(BF$5&gt;$F6,BF$5&lt;=$G6),IF($K6="Sí",2,1),IF(AND($D6=0,BF$5=$G6),3,""))</f>
        <v/>
      </c>
      <c r="BG6" s="75" t="str">
        <f aca="false">IF(AND(BG$5&gt;$F6,BG$5&lt;=$G6),IF($K6="Sí",2,1),IF(AND($D6=0,BG$5=$G6),3,""))</f>
        <v/>
      </c>
      <c r="BH6" s="75" t="str">
        <f aca="false">IF(AND(BH$5&gt;$F6,BH$5&lt;=$G6),IF($K6="Sí",2,1),IF(AND($D6=0,BH$5=$G6),3,""))</f>
        <v/>
      </c>
      <c r="BI6" s="75" t="str">
        <f aca="false">IF(AND(BI$5&gt;$F6,BI$5&lt;=$G6),IF($K6="Sí",2,1),IF(AND($D6=0,BI$5=$G6),3,""))</f>
        <v/>
      </c>
      <c r="BJ6" s="75" t="str">
        <f aca="false">IF(AND(BJ$5&gt;$F6,BJ$5&lt;=$G6),IF($K6="Sí",2,1),IF(AND($D6=0,BJ$5=$G6),3,""))</f>
        <v/>
      </c>
      <c r="BK6" s="75" t="str">
        <f aca="false">IF(AND(BK$5&gt;$F6,BK$5&lt;=$G6),IF($K6="Sí",2,1),IF(AND($D6=0,BK$5=$G6),3,""))</f>
        <v/>
      </c>
      <c r="BL6" s="75" t="str">
        <f aca="false">IF(AND(BL$5&gt;$F6,BL$5&lt;=$G6),IF($K6="Sí",2,1),IF(AND($D6=0,BL$5=$G6),3,""))</f>
        <v/>
      </c>
      <c r="BM6" s="75" t="str">
        <f aca="false">IF(AND(BM$5&gt;$F6,BM$5&lt;=$G6),IF($K6="Sí",2,1),IF(AND($D6=0,BM$5=$G6),3,""))</f>
        <v/>
      </c>
      <c r="BN6" s="75" t="str">
        <f aca="false">IF(AND(BN$5&gt;$F6,BN$5&lt;=$G6),IF($K6="Sí",2,1),IF(AND($D6=0,BN$5=$G6),3,""))</f>
        <v/>
      </c>
      <c r="BO6" s="75" t="str">
        <f aca="false">IF(AND(BO$5&gt;$F6,BO$5&lt;=$G6),IF($K6="Sí",2,1),IF(AND($D6=0,BO$5=$G6),3,""))</f>
        <v/>
      </c>
      <c r="BQ6" s="59" t="n">
        <v>44</v>
      </c>
      <c r="BR6" s="59" t="n">
        <v>0</v>
      </c>
      <c r="BS6" s="59" t="n">
        <v>0</v>
      </c>
      <c r="BT6" s="59" t="n">
        <v>0</v>
      </c>
      <c r="BU6" s="59" t="n">
        <v>36</v>
      </c>
      <c r="BV6" s="59" t="n">
        <v>0</v>
      </c>
      <c r="BW6" s="76" t="n">
        <f aca="false">L6-80</f>
        <v>0</v>
      </c>
      <c r="BX6" s="77" t="n">
        <f aca="false">IF($D6=0,0,BQ6/$D6)</f>
        <v>44</v>
      </c>
      <c r="BY6" s="77" t="n">
        <f aca="false">IF($D6=0,0,BR6/$D6)</f>
        <v>0</v>
      </c>
      <c r="BZ6" s="77" t="n">
        <f aca="false">IF($D6=0,0,BS6/$D6)</f>
        <v>0</v>
      </c>
      <c r="CA6" s="77" t="n">
        <f aca="false">IF($D6=0,0,BT6/$D6)</f>
        <v>0</v>
      </c>
      <c r="CB6" s="77" t="n">
        <f aca="false">IF($D6=0,0,BU6/$D6)</f>
        <v>36</v>
      </c>
      <c r="CC6" s="77" t="n">
        <f aca="false">IF($D6=0,0,BV6/$D6)</f>
        <v>0</v>
      </c>
    </row>
    <row r="7" customFormat="false" ht="15" hidden="false" customHeight="true" outlineLevel="0" collapsed="false">
      <c r="A7" s="7" t="s">
        <v>1379</v>
      </c>
      <c r="B7" s="7" t="s">
        <v>1380</v>
      </c>
      <c r="C7" s="7" t="s">
        <v>1378</v>
      </c>
      <c r="D7" s="30" t="n">
        <v>2</v>
      </c>
      <c r="E7" s="7" t="s">
        <v>1376</v>
      </c>
      <c r="F7" s="32" t="n">
        <f aca="false">MAX(G6)+Q7</f>
        <v>1</v>
      </c>
      <c r="G7" s="32" t="n">
        <f aca="false">F7+D7</f>
        <v>3</v>
      </c>
      <c r="H7" s="32" t="n">
        <f aca="false">I7-D7</f>
        <v>2</v>
      </c>
      <c r="I7" s="32" t="n">
        <f aca="false">MIN(H8)</f>
        <v>4</v>
      </c>
      <c r="J7" s="32" t="n">
        <f aca="false">H7-F7</f>
        <v>1</v>
      </c>
      <c r="K7" s="71" t="str">
        <f aca="false">IF(J7=0,"Sí","")</f>
        <v/>
      </c>
      <c r="L7" s="72" t="n">
        <f aca="false">SUM(BQ7:BV7)</f>
        <v>160</v>
      </c>
      <c r="M7" s="33" t="n">
        <f aca="false">SUMIFS(Cotizaciones!$J$5:$J$70,Cotizaciones!$C$5:$C$70,A7)</f>
        <v>0</v>
      </c>
      <c r="N7" s="32" t="n">
        <f aca="false">(L7*Supuestos!$B$47+M7*(1+Supuestos!$B$50))*(1+Supuestos!$B$51)/(1-Supuestos!$B$52)</f>
        <v>25991902.8340081</v>
      </c>
      <c r="O7" s="73" t="n">
        <f aca="false">$C$3+F7*7</f>
        <v>46405</v>
      </c>
      <c r="P7" s="73" t="n">
        <f aca="false">$C$3+G7*7-IF(D7&gt;0,1,0)</f>
        <v>46418</v>
      </c>
      <c r="Q7" s="74" t="n">
        <v>0</v>
      </c>
      <c r="R7" s="75" t="str">
        <f aca="false">IF(AND(R$5&gt;$F7,R$5&lt;=$G7),IF($K7="Sí",2,1),IF(AND($D7=0,R$5=$G7),3,""))</f>
        <v/>
      </c>
      <c r="S7" s="75" t="n">
        <f aca="false">IF(AND(S$5&gt;$F7,S$5&lt;=$G7),IF($K7="Sí",2,1),IF(AND($D7=0,S$5=$G7),3,""))</f>
        <v>1</v>
      </c>
      <c r="T7" s="75" t="n">
        <f aca="false">IF(AND(T$5&gt;$F7,T$5&lt;=$G7),IF($K7="Sí",2,1),IF(AND($D7=0,T$5=$G7),3,""))</f>
        <v>1</v>
      </c>
      <c r="U7" s="75" t="str">
        <f aca="false">IF(AND(U$5&gt;$F7,U$5&lt;=$G7),IF($K7="Sí",2,1),IF(AND($D7=0,U$5=$G7),3,""))</f>
        <v/>
      </c>
      <c r="V7" s="75" t="str">
        <f aca="false">IF(AND(V$5&gt;$F7,V$5&lt;=$G7),IF($K7="Sí",2,1),IF(AND($D7=0,V$5=$G7),3,""))</f>
        <v/>
      </c>
      <c r="W7" s="75" t="str">
        <f aca="false">IF(AND(W$5&gt;$F7,W$5&lt;=$G7),IF($K7="Sí",2,1),IF(AND($D7=0,W$5=$G7),3,""))</f>
        <v/>
      </c>
      <c r="X7" s="75" t="str">
        <f aca="false">IF(AND(X$5&gt;$F7,X$5&lt;=$G7),IF($K7="Sí",2,1),IF(AND($D7=0,X$5=$G7),3,""))</f>
        <v/>
      </c>
      <c r="Y7" s="75" t="str">
        <f aca="false">IF(AND(Y$5&gt;$F7,Y$5&lt;=$G7),IF($K7="Sí",2,1),IF(AND($D7=0,Y$5=$G7),3,""))</f>
        <v/>
      </c>
      <c r="Z7" s="75" t="str">
        <f aca="false">IF(AND(Z$5&gt;$F7,Z$5&lt;=$G7),IF($K7="Sí",2,1),IF(AND($D7=0,Z$5=$G7),3,""))</f>
        <v/>
      </c>
      <c r="AA7" s="75" t="str">
        <f aca="false">IF(AND(AA$5&gt;$F7,AA$5&lt;=$G7),IF($K7="Sí",2,1),IF(AND($D7=0,AA$5=$G7),3,""))</f>
        <v/>
      </c>
      <c r="AB7" s="75" t="str">
        <f aca="false">IF(AND(AB$5&gt;$F7,AB$5&lt;=$G7),IF($K7="Sí",2,1),IF(AND($D7=0,AB$5=$G7),3,""))</f>
        <v/>
      </c>
      <c r="AC7" s="75" t="str">
        <f aca="false">IF(AND(AC$5&gt;$F7,AC$5&lt;=$G7),IF($K7="Sí",2,1),IF(AND($D7=0,AC$5=$G7),3,""))</f>
        <v/>
      </c>
      <c r="AD7" s="75" t="str">
        <f aca="false">IF(AND(AD$5&gt;$F7,AD$5&lt;=$G7),IF($K7="Sí",2,1),IF(AND($D7=0,AD$5=$G7),3,""))</f>
        <v/>
      </c>
      <c r="AE7" s="75" t="str">
        <f aca="false">IF(AND(AE$5&gt;$F7,AE$5&lt;=$G7),IF($K7="Sí",2,1),IF(AND($D7=0,AE$5=$G7),3,""))</f>
        <v/>
      </c>
      <c r="AF7" s="75" t="str">
        <f aca="false">IF(AND(AF$5&gt;$F7,AF$5&lt;=$G7),IF($K7="Sí",2,1),IF(AND($D7=0,AF$5=$G7),3,""))</f>
        <v/>
      </c>
      <c r="AG7" s="75" t="str">
        <f aca="false">IF(AND(AG$5&gt;$F7,AG$5&lt;=$G7),IF($K7="Sí",2,1),IF(AND($D7=0,AG$5=$G7),3,""))</f>
        <v/>
      </c>
      <c r="AH7" s="75" t="str">
        <f aca="false">IF(AND(AH$5&gt;$F7,AH$5&lt;=$G7),IF($K7="Sí",2,1),IF(AND($D7=0,AH$5=$G7),3,""))</f>
        <v/>
      </c>
      <c r="AI7" s="75" t="str">
        <f aca="false">IF(AND(AI$5&gt;$F7,AI$5&lt;=$G7),IF($K7="Sí",2,1),IF(AND($D7=0,AI$5=$G7),3,""))</f>
        <v/>
      </c>
      <c r="AJ7" s="75" t="str">
        <f aca="false">IF(AND(AJ$5&gt;$F7,AJ$5&lt;=$G7),IF($K7="Sí",2,1),IF(AND($D7=0,AJ$5=$G7),3,""))</f>
        <v/>
      </c>
      <c r="AK7" s="75" t="str">
        <f aca="false">IF(AND(AK$5&gt;$F7,AK$5&lt;=$G7),IF($K7="Sí",2,1),IF(AND($D7=0,AK$5=$G7),3,""))</f>
        <v/>
      </c>
      <c r="AL7" s="75" t="str">
        <f aca="false">IF(AND(AL$5&gt;$F7,AL$5&lt;=$G7),IF($K7="Sí",2,1),IF(AND($D7=0,AL$5=$G7),3,""))</f>
        <v/>
      </c>
      <c r="AM7" s="75" t="str">
        <f aca="false">IF(AND(AM$5&gt;$F7,AM$5&lt;=$G7),IF($K7="Sí",2,1),IF(AND($D7=0,AM$5=$G7),3,""))</f>
        <v/>
      </c>
      <c r="AN7" s="75" t="str">
        <f aca="false">IF(AND(AN$5&gt;$F7,AN$5&lt;=$G7),IF($K7="Sí",2,1),IF(AND($D7=0,AN$5=$G7),3,""))</f>
        <v/>
      </c>
      <c r="AO7" s="75" t="str">
        <f aca="false">IF(AND(AO$5&gt;$F7,AO$5&lt;=$G7),IF($K7="Sí",2,1),IF(AND($D7=0,AO$5=$G7),3,""))</f>
        <v/>
      </c>
      <c r="AP7" s="75" t="str">
        <f aca="false">IF(AND(AP$5&gt;$F7,AP$5&lt;=$G7),IF($K7="Sí",2,1),IF(AND($D7=0,AP$5=$G7),3,""))</f>
        <v/>
      </c>
      <c r="AQ7" s="75" t="str">
        <f aca="false">IF(AND(AQ$5&gt;$F7,AQ$5&lt;=$G7),IF($K7="Sí",2,1),IF(AND($D7=0,AQ$5=$G7),3,""))</f>
        <v/>
      </c>
      <c r="AR7" s="75" t="str">
        <f aca="false">IF(AND(AR$5&gt;$F7,AR$5&lt;=$G7),IF($K7="Sí",2,1),IF(AND($D7=0,AR$5=$G7),3,""))</f>
        <v/>
      </c>
      <c r="AS7" s="75" t="str">
        <f aca="false">IF(AND(AS$5&gt;$F7,AS$5&lt;=$G7),IF($K7="Sí",2,1),IF(AND($D7=0,AS$5=$G7),3,""))</f>
        <v/>
      </c>
      <c r="AT7" s="75" t="str">
        <f aca="false">IF(AND(AT$5&gt;$F7,AT$5&lt;=$G7),IF($K7="Sí",2,1),IF(AND($D7=0,AT$5=$G7),3,""))</f>
        <v/>
      </c>
      <c r="AU7" s="75" t="str">
        <f aca="false">IF(AND(AU$5&gt;$F7,AU$5&lt;=$G7),IF($K7="Sí",2,1),IF(AND($D7=0,AU$5=$G7),3,""))</f>
        <v/>
      </c>
      <c r="AV7" s="75" t="str">
        <f aca="false">IF(AND(AV$5&gt;$F7,AV$5&lt;=$G7),IF($K7="Sí",2,1),IF(AND($D7=0,AV$5=$G7),3,""))</f>
        <v/>
      </c>
      <c r="AW7" s="75" t="str">
        <f aca="false">IF(AND(AW$5&gt;$F7,AW$5&lt;=$G7),IF($K7="Sí",2,1),IF(AND($D7=0,AW$5=$G7),3,""))</f>
        <v/>
      </c>
      <c r="AX7" s="75" t="str">
        <f aca="false">IF(AND(AX$5&gt;$F7,AX$5&lt;=$G7),IF($K7="Sí",2,1),IF(AND($D7=0,AX$5=$G7),3,""))</f>
        <v/>
      </c>
      <c r="AY7" s="75" t="str">
        <f aca="false">IF(AND(AY$5&gt;$F7,AY$5&lt;=$G7),IF($K7="Sí",2,1),IF(AND($D7=0,AY$5=$G7),3,""))</f>
        <v/>
      </c>
      <c r="AZ7" s="75" t="str">
        <f aca="false">IF(AND(AZ$5&gt;$F7,AZ$5&lt;=$G7),IF($K7="Sí",2,1),IF(AND($D7=0,AZ$5=$G7),3,""))</f>
        <v/>
      </c>
      <c r="BA7" s="75" t="str">
        <f aca="false">IF(AND(BA$5&gt;$F7,BA$5&lt;=$G7),IF($K7="Sí",2,1),IF(AND($D7=0,BA$5=$G7),3,""))</f>
        <v/>
      </c>
      <c r="BB7" s="75" t="str">
        <f aca="false">IF(AND(BB$5&gt;$F7,BB$5&lt;=$G7),IF($K7="Sí",2,1),IF(AND($D7=0,BB$5=$G7),3,""))</f>
        <v/>
      </c>
      <c r="BC7" s="75" t="str">
        <f aca="false">IF(AND(BC$5&gt;$F7,BC$5&lt;=$G7),IF($K7="Sí",2,1),IF(AND($D7=0,BC$5=$G7),3,""))</f>
        <v/>
      </c>
      <c r="BD7" s="75" t="str">
        <f aca="false">IF(AND(BD$5&gt;$F7,BD$5&lt;=$G7),IF($K7="Sí",2,1),IF(AND($D7=0,BD$5=$G7),3,""))</f>
        <v/>
      </c>
      <c r="BE7" s="75" t="str">
        <f aca="false">IF(AND(BE$5&gt;$F7,BE$5&lt;=$G7),IF($K7="Sí",2,1),IF(AND($D7=0,BE$5=$G7),3,""))</f>
        <v/>
      </c>
      <c r="BF7" s="75" t="str">
        <f aca="false">IF(AND(BF$5&gt;$F7,BF$5&lt;=$G7),IF($K7="Sí",2,1),IF(AND($D7=0,BF$5=$G7),3,""))</f>
        <v/>
      </c>
      <c r="BG7" s="75" t="str">
        <f aca="false">IF(AND(BG$5&gt;$F7,BG$5&lt;=$G7),IF($K7="Sí",2,1),IF(AND($D7=0,BG$5=$G7),3,""))</f>
        <v/>
      </c>
      <c r="BH7" s="75" t="str">
        <f aca="false">IF(AND(BH$5&gt;$F7,BH$5&lt;=$G7),IF($K7="Sí",2,1),IF(AND($D7=0,BH$5=$G7),3,""))</f>
        <v/>
      </c>
      <c r="BI7" s="75" t="str">
        <f aca="false">IF(AND(BI$5&gt;$F7,BI$5&lt;=$G7),IF($K7="Sí",2,1),IF(AND($D7=0,BI$5=$G7),3,""))</f>
        <v/>
      </c>
      <c r="BJ7" s="75" t="str">
        <f aca="false">IF(AND(BJ$5&gt;$F7,BJ$5&lt;=$G7),IF($K7="Sí",2,1),IF(AND($D7=0,BJ$5=$G7),3,""))</f>
        <v/>
      </c>
      <c r="BK7" s="75" t="str">
        <f aca="false">IF(AND(BK$5&gt;$F7,BK$5&lt;=$G7),IF($K7="Sí",2,1),IF(AND($D7=0,BK$5=$G7),3,""))</f>
        <v/>
      </c>
      <c r="BL7" s="75" t="str">
        <f aca="false">IF(AND(BL$5&gt;$F7,BL$5&lt;=$G7),IF($K7="Sí",2,1),IF(AND($D7=0,BL$5=$G7),3,""))</f>
        <v/>
      </c>
      <c r="BM7" s="75" t="str">
        <f aca="false">IF(AND(BM$5&gt;$F7,BM$5&lt;=$G7),IF($K7="Sí",2,1),IF(AND($D7=0,BM$5=$G7),3,""))</f>
        <v/>
      </c>
      <c r="BN7" s="75" t="str">
        <f aca="false">IF(AND(BN$5&gt;$F7,BN$5&lt;=$G7),IF($K7="Sí",2,1),IF(AND($D7=0,BN$5=$G7),3,""))</f>
        <v/>
      </c>
      <c r="BO7" s="75" t="str">
        <f aca="false">IF(AND(BO$5&gt;$F7,BO$5&lt;=$G7),IF($K7="Sí",2,1),IF(AND($D7=0,BO$5=$G7),3,""))</f>
        <v/>
      </c>
      <c r="BQ7" s="59" t="n">
        <v>87</v>
      </c>
      <c r="BR7" s="59" t="n">
        <v>73</v>
      </c>
      <c r="BS7" s="59" t="n">
        <v>0</v>
      </c>
      <c r="BT7" s="59" t="n">
        <v>0</v>
      </c>
      <c r="BU7" s="59" t="n">
        <v>0</v>
      </c>
      <c r="BV7" s="59" t="n">
        <v>0</v>
      </c>
      <c r="BW7" s="76" t="n">
        <f aca="false">L7-160</f>
        <v>0</v>
      </c>
      <c r="BX7" s="77" t="n">
        <f aca="false">IF($D7=0,0,BQ7/$D7)</f>
        <v>43.5</v>
      </c>
      <c r="BY7" s="77" t="n">
        <f aca="false">IF($D7=0,0,BR7/$D7)</f>
        <v>36.5</v>
      </c>
      <c r="BZ7" s="77" t="n">
        <f aca="false">IF($D7=0,0,BS7/$D7)</f>
        <v>0</v>
      </c>
      <c r="CA7" s="77" t="n">
        <f aca="false">IF($D7=0,0,BT7/$D7)</f>
        <v>0</v>
      </c>
      <c r="CB7" s="77" t="n">
        <f aca="false">IF($D7=0,0,BU7/$D7)</f>
        <v>0</v>
      </c>
      <c r="CC7" s="77" t="n">
        <f aca="false">IF($D7=0,0,BV7/$D7)</f>
        <v>0</v>
      </c>
    </row>
    <row r="8" customFormat="false" ht="15" hidden="false" customHeight="true" outlineLevel="0" collapsed="false">
      <c r="A8" s="7" t="s">
        <v>1381</v>
      </c>
      <c r="B8" s="7" t="s">
        <v>1382</v>
      </c>
      <c r="C8" s="7" t="s">
        <v>1378</v>
      </c>
      <c r="D8" s="30" t="n">
        <v>44</v>
      </c>
      <c r="E8" s="7" t="s">
        <v>1379</v>
      </c>
      <c r="F8" s="32" t="n">
        <f aca="false">MAX(G7)+Q8</f>
        <v>3</v>
      </c>
      <c r="G8" s="32" t="n">
        <f aca="false">F8+D8</f>
        <v>47</v>
      </c>
      <c r="H8" s="32" t="n">
        <f aca="false">I8-D8</f>
        <v>4</v>
      </c>
      <c r="I8" s="32" t="n">
        <f aca="false">MAX($G$6:$G$43)</f>
        <v>48</v>
      </c>
      <c r="J8" s="32" t="n">
        <f aca="false">H8-F8</f>
        <v>1</v>
      </c>
      <c r="K8" s="71" t="str">
        <f aca="false">IF(J8=0,"Sí","")</f>
        <v/>
      </c>
      <c r="L8" s="72" t="n">
        <f aca="false">SUM(BQ8:BV8)</f>
        <v>1100</v>
      </c>
      <c r="M8" s="33" t="n">
        <f aca="false">SUMIFS(Cotizaciones!$J$5:$J$70,Cotizaciones!$C$5:$C$70,A8)</f>
        <v>0</v>
      </c>
      <c r="N8" s="32" t="n">
        <f aca="false">(L8*Supuestos!$B$47+M8*(1+Supuestos!$B$50))*(1+Supuestos!$B$51)/(1-Supuestos!$B$52)</f>
        <v>178694331.983806</v>
      </c>
      <c r="O8" s="73" t="n">
        <f aca="false">$C$3+F8*7</f>
        <v>46419</v>
      </c>
      <c r="P8" s="73" t="n">
        <f aca="false">$C$3+G8*7-IF(D8&gt;0,1,0)</f>
        <v>46726</v>
      </c>
      <c r="Q8" s="74" t="n">
        <v>0</v>
      </c>
      <c r="R8" s="75" t="str">
        <f aca="false">IF(AND(R$5&gt;$F8,R$5&lt;=$G8),IF($K8="Sí",2,1),IF(AND($D8=0,R$5=$G8),3,""))</f>
        <v/>
      </c>
      <c r="S8" s="75" t="str">
        <f aca="false">IF(AND(S$5&gt;$F8,S$5&lt;=$G8),IF($K8="Sí",2,1),IF(AND($D8=0,S$5=$G8),3,""))</f>
        <v/>
      </c>
      <c r="T8" s="75" t="str">
        <f aca="false">IF(AND(T$5&gt;$F8,T$5&lt;=$G8),IF($K8="Sí",2,1),IF(AND($D8=0,T$5=$G8),3,""))</f>
        <v/>
      </c>
      <c r="U8" s="75" t="n">
        <f aca="false">IF(AND(U$5&gt;$F8,U$5&lt;=$G8),IF($K8="Sí",2,1),IF(AND($D8=0,U$5=$G8),3,""))</f>
        <v>1</v>
      </c>
      <c r="V8" s="75" t="n">
        <f aca="false">IF(AND(V$5&gt;$F8,V$5&lt;=$G8),IF($K8="Sí",2,1),IF(AND($D8=0,V$5=$G8),3,""))</f>
        <v>1</v>
      </c>
      <c r="W8" s="75" t="n">
        <f aca="false">IF(AND(W$5&gt;$F8,W$5&lt;=$G8),IF($K8="Sí",2,1),IF(AND($D8=0,W$5=$G8),3,""))</f>
        <v>1</v>
      </c>
      <c r="X8" s="75" t="n">
        <f aca="false">IF(AND(X$5&gt;$F8,X$5&lt;=$G8),IF($K8="Sí",2,1),IF(AND($D8=0,X$5=$G8),3,""))</f>
        <v>1</v>
      </c>
      <c r="Y8" s="75" t="n">
        <f aca="false">IF(AND(Y$5&gt;$F8,Y$5&lt;=$G8),IF($K8="Sí",2,1),IF(AND($D8=0,Y$5=$G8),3,""))</f>
        <v>1</v>
      </c>
      <c r="Z8" s="75" t="n">
        <f aca="false">IF(AND(Z$5&gt;$F8,Z$5&lt;=$G8),IF($K8="Sí",2,1),IF(AND($D8=0,Z$5=$G8),3,""))</f>
        <v>1</v>
      </c>
      <c r="AA8" s="75" t="n">
        <f aca="false">IF(AND(AA$5&gt;$F8,AA$5&lt;=$G8),IF($K8="Sí",2,1),IF(AND($D8=0,AA$5=$G8),3,""))</f>
        <v>1</v>
      </c>
      <c r="AB8" s="75" t="n">
        <f aca="false">IF(AND(AB$5&gt;$F8,AB$5&lt;=$G8),IF($K8="Sí",2,1),IF(AND($D8=0,AB$5=$G8),3,""))</f>
        <v>1</v>
      </c>
      <c r="AC8" s="75" t="n">
        <f aca="false">IF(AND(AC$5&gt;$F8,AC$5&lt;=$G8),IF($K8="Sí",2,1),IF(AND($D8=0,AC$5=$G8),3,""))</f>
        <v>1</v>
      </c>
      <c r="AD8" s="75" t="n">
        <f aca="false">IF(AND(AD$5&gt;$F8,AD$5&lt;=$G8),IF($K8="Sí",2,1),IF(AND($D8=0,AD$5=$G8),3,""))</f>
        <v>1</v>
      </c>
      <c r="AE8" s="75" t="n">
        <f aca="false">IF(AND(AE$5&gt;$F8,AE$5&lt;=$G8),IF($K8="Sí",2,1),IF(AND($D8=0,AE$5=$G8),3,""))</f>
        <v>1</v>
      </c>
      <c r="AF8" s="75" t="n">
        <f aca="false">IF(AND(AF$5&gt;$F8,AF$5&lt;=$G8),IF($K8="Sí",2,1),IF(AND($D8=0,AF$5=$G8),3,""))</f>
        <v>1</v>
      </c>
      <c r="AG8" s="75" t="n">
        <f aca="false">IF(AND(AG$5&gt;$F8,AG$5&lt;=$G8),IF($K8="Sí",2,1),IF(AND($D8=0,AG$5=$G8),3,""))</f>
        <v>1</v>
      </c>
      <c r="AH8" s="75" t="n">
        <f aca="false">IF(AND(AH$5&gt;$F8,AH$5&lt;=$G8),IF($K8="Sí",2,1),IF(AND($D8=0,AH$5=$G8),3,""))</f>
        <v>1</v>
      </c>
      <c r="AI8" s="75" t="n">
        <f aca="false">IF(AND(AI$5&gt;$F8,AI$5&lt;=$G8),IF($K8="Sí",2,1),IF(AND($D8=0,AI$5=$G8),3,""))</f>
        <v>1</v>
      </c>
      <c r="AJ8" s="75" t="n">
        <f aca="false">IF(AND(AJ$5&gt;$F8,AJ$5&lt;=$G8),IF($K8="Sí",2,1),IF(AND($D8=0,AJ$5=$G8),3,""))</f>
        <v>1</v>
      </c>
      <c r="AK8" s="75" t="n">
        <f aca="false">IF(AND(AK$5&gt;$F8,AK$5&lt;=$G8),IF($K8="Sí",2,1),IF(AND($D8=0,AK$5=$G8),3,""))</f>
        <v>1</v>
      </c>
      <c r="AL8" s="75" t="n">
        <f aca="false">IF(AND(AL$5&gt;$F8,AL$5&lt;=$G8),IF($K8="Sí",2,1),IF(AND($D8=0,AL$5=$G8),3,""))</f>
        <v>1</v>
      </c>
      <c r="AM8" s="75" t="n">
        <f aca="false">IF(AND(AM$5&gt;$F8,AM$5&lt;=$G8),IF($K8="Sí",2,1),IF(AND($D8=0,AM$5=$G8),3,""))</f>
        <v>1</v>
      </c>
      <c r="AN8" s="75" t="n">
        <f aca="false">IF(AND(AN$5&gt;$F8,AN$5&lt;=$G8),IF($K8="Sí",2,1),IF(AND($D8=0,AN$5=$G8),3,""))</f>
        <v>1</v>
      </c>
      <c r="AO8" s="75" t="n">
        <f aca="false">IF(AND(AO$5&gt;$F8,AO$5&lt;=$G8),IF($K8="Sí",2,1),IF(AND($D8=0,AO$5=$G8),3,""))</f>
        <v>1</v>
      </c>
      <c r="AP8" s="75" t="n">
        <f aca="false">IF(AND(AP$5&gt;$F8,AP$5&lt;=$G8),IF($K8="Sí",2,1),IF(AND($D8=0,AP$5=$G8),3,""))</f>
        <v>1</v>
      </c>
      <c r="AQ8" s="75" t="n">
        <f aca="false">IF(AND(AQ$5&gt;$F8,AQ$5&lt;=$G8),IF($K8="Sí",2,1),IF(AND($D8=0,AQ$5=$G8),3,""))</f>
        <v>1</v>
      </c>
      <c r="AR8" s="75" t="n">
        <f aca="false">IF(AND(AR$5&gt;$F8,AR$5&lt;=$G8),IF($K8="Sí",2,1),IF(AND($D8=0,AR$5=$G8),3,""))</f>
        <v>1</v>
      </c>
      <c r="AS8" s="75" t="n">
        <f aca="false">IF(AND(AS$5&gt;$F8,AS$5&lt;=$G8),IF($K8="Sí",2,1),IF(AND($D8=0,AS$5=$G8),3,""))</f>
        <v>1</v>
      </c>
      <c r="AT8" s="75" t="n">
        <f aca="false">IF(AND(AT$5&gt;$F8,AT$5&lt;=$G8),IF($K8="Sí",2,1),IF(AND($D8=0,AT$5=$G8),3,""))</f>
        <v>1</v>
      </c>
      <c r="AU8" s="75" t="n">
        <f aca="false">IF(AND(AU$5&gt;$F8,AU$5&lt;=$G8),IF($K8="Sí",2,1),IF(AND($D8=0,AU$5=$G8),3,""))</f>
        <v>1</v>
      </c>
      <c r="AV8" s="75" t="n">
        <f aca="false">IF(AND(AV$5&gt;$F8,AV$5&lt;=$G8),IF($K8="Sí",2,1),IF(AND($D8=0,AV$5=$G8),3,""))</f>
        <v>1</v>
      </c>
      <c r="AW8" s="75" t="n">
        <f aca="false">IF(AND(AW$5&gt;$F8,AW$5&lt;=$G8),IF($K8="Sí",2,1),IF(AND($D8=0,AW$5=$G8),3,""))</f>
        <v>1</v>
      </c>
      <c r="AX8" s="75" t="n">
        <f aca="false">IF(AND(AX$5&gt;$F8,AX$5&lt;=$G8),IF($K8="Sí",2,1),IF(AND($D8=0,AX$5=$G8),3,""))</f>
        <v>1</v>
      </c>
      <c r="AY8" s="75" t="n">
        <f aca="false">IF(AND(AY$5&gt;$F8,AY$5&lt;=$G8),IF($K8="Sí",2,1),IF(AND($D8=0,AY$5=$G8),3,""))</f>
        <v>1</v>
      </c>
      <c r="AZ8" s="75" t="n">
        <f aca="false">IF(AND(AZ$5&gt;$F8,AZ$5&lt;=$G8),IF($K8="Sí",2,1),IF(AND($D8=0,AZ$5=$G8),3,""))</f>
        <v>1</v>
      </c>
      <c r="BA8" s="75" t="n">
        <f aca="false">IF(AND(BA$5&gt;$F8,BA$5&lt;=$G8),IF($K8="Sí",2,1),IF(AND($D8=0,BA$5=$G8),3,""))</f>
        <v>1</v>
      </c>
      <c r="BB8" s="75" t="n">
        <f aca="false">IF(AND(BB$5&gt;$F8,BB$5&lt;=$G8),IF($K8="Sí",2,1),IF(AND($D8=0,BB$5=$G8),3,""))</f>
        <v>1</v>
      </c>
      <c r="BC8" s="75" t="n">
        <f aca="false">IF(AND(BC$5&gt;$F8,BC$5&lt;=$G8),IF($K8="Sí",2,1),IF(AND($D8=0,BC$5=$G8),3,""))</f>
        <v>1</v>
      </c>
      <c r="BD8" s="75" t="n">
        <f aca="false">IF(AND(BD$5&gt;$F8,BD$5&lt;=$G8),IF($K8="Sí",2,1),IF(AND($D8=0,BD$5=$G8),3,""))</f>
        <v>1</v>
      </c>
      <c r="BE8" s="75" t="n">
        <f aca="false">IF(AND(BE$5&gt;$F8,BE$5&lt;=$G8),IF($K8="Sí",2,1),IF(AND($D8=0,BE$5=$G8),3,""))</f>
        <v>1</v>
      </c>
      <c r="BF8" s="75" t="n">
        <f aca="false">IF(AND(BF$5&gt;$F8,BF$5&lt;=$G8),IF($K8="Sí",2,1),IF(AND($D8=0,BF$5=$G8),3,""))</f>
        <v>1</v>
      </c>
      <c r="BG8" s="75" t="n">
        <f aca="false">IF(AND(BG$5&gt;$F8,BG$5&lt;=$G8),IF($K8="Sí",2,1),IF(AND($D8=0,BG$5=$G8),3,""))</f>
        <v>1</v>
      </c>
      <c r="BH8" s="75" t="n">
        <f aca="false">IF(AND(BH$5&gt;$F8,BH$5&lt;=$G8),IF($K8="Sí",2,1),IF(AND($D8=0,BH$5=$G8),3,""))</f>
        <v>1</v>
      </c>
      <c r="BI8" s="75" t="n">
        <f aca="false">IF(AND(BI$5&gt;$F8,BI$5&lt;=$G8),IF($K8="Sí",2,1),IF(AND($D8=0,BI$5=$G8),3,""))</f>
        <v>1</v>
      </c>
      <c r="BJ8" s="75" t="n">
        <f aca="false">IF(AND(BJ$5&gt;$F8,BJ$5&lt;=$G8),IF($K8="Sí",2,1),IF(AND($D8=0,BJ$5=$G8),3,""))</f>
        <v>1</v>
      </c>
      <c r="BK8" s="75" t="n">
        <f aca="false">IF(AND(BK$5&gt;$F8,BK$5&lt;=$G8),IF($K8="Sí",2,1),IF(AND($D8=0,BK$5=$G8),3,""))</f>
        <v>1</v>
      </c>
      <c r="BL8" s="75" t="n">
        <f aca="false">IF(AND(BL$5&gt;$F8,BL$5&lt;=$G8),IF($K8="Sí",2,1),IF(AND($D8=0,BL$5=$G8),3,""))</f>
        <v>1</v>
      </c>
      <c r="BM8" s="75" t="str">
        <f aca="false">IF(AND(BM$5&gt;$F8,BM$5&lt;=$G8),IF($K8="Sí",2,1),IF(AND($D8=0,BM$5=$G8),3,""))</f>
        <v/>
      </c>
      <c r="BN8" s="75" t="str">
        <f aca="false">IF(AND(BN$5&gt;$F8,BN$5&lt;=$G8),IF($K8="Sí",2,1),IF(AND($D8=0,BN$5=$G8),3,""))</f>
        <v/>
      </c>
      <c r="BO8" s="75" t="str">
        <f aca="false">IF(AND(BO$5&gt;$F8,BO$5&lt;=$G8),IF($K8="Sí",2,1),IF(AND($D8=0,BO$5=$G8),3,""))</f>
        <v/>
      </c>
      <c r="BQ8" s="59" t="n">
        <v>1100</v>
      </c>
      <c r="BR8" s="59" t="n">
        <v>0</v>
      </c>
      <c r="BS8" s="59" t="n">
        <v>0</v>
      </c>
      <c r="BT8" s="59" t="n">
        <v>0</v>
      </c>
      <c r="BU8" s="59" t="n">
        <v>0</v>
      </c>
      <c r="BV8" s="59" t="n">
        <v>0</v>
      </c>
      <c r="BW8" s="76" t="n">
        <f aca="false">L8-1100</f>
        <v>0</v>
      </c>
      <c r="BX8" s="77" t="n">
        <f aca="false">IF($D8=0,0,BQ8/$D8)</f>
        <v>25</v>
      </c>
      <c r="BY8" s="77" t="n">
        <f aca="false">IF($D8=0,0,BR8/$D8)</f>
        <v>0</v>
      </c>
      <c r="BZ8" s="77" t="n">
        <f aca="false">IF($D8=0,0,BS8/$D8)</f>
        <v>0</v>
      </c>
      <c r="CA8" s="77" t="n">
        <f aca="false">IF($D8=0,0,BT8/$D8)</f>
        <v>0</v>
      </c>
      <c r="CB8" s="77" t="n">
        <f aca="false">IF($D8=0,0,BU8/$D8)</f>
        <v>0</v>
      </c>
      <c r="CC8" s="77" t="n">
        <f aca="false">IF($D8=0,0,BV8/$D8)</f>
        <v>0</v>
      </c>
    </row>
    <row r="9" customFormat="false" ht="15" hidden="false" customHeight="true" outlineLevel="0" collapsed="false">
      <c r="A9" s="7" t="s">
        <v>1383</v>
      </c>
      <c r="B9" s="7" t="s">
        <v>1384</v>
      </c>
      <c r="C9" s="7" t="s">
        <v>1385</v>
      </c>
      <c r="D9" s="30" t="n">
        <v>3</v>
      </c>
      <c r="E9" s="7" t="s">
        <v>1376</v>
      </c>
      <c r="F9" s="32" t="n">
        <f aca="false">MAX(G6)+Q9</f>
        <v>1</v>
      </c>
      <c r="G9" s="32" t="n">
        <f aca="false">F9+D9</f>
        <v>4</v>
      </c>
      <c r="H9" s="32" t="n">
        <f aca="false">I9-D9</f>
        <v>1</v>
      </c>
      <c r="I9" s="32" t="n">
        <f aca="false">MIN(H10,H11)</f>
        <v>4</v>
      </c>
      <c r="J9" s="32" t="n">
        <f aca="false">H9-F9</f>
        <v>0</v>
      </c>
      <c r="K9" s="71" t="str">
        <f aca="false">IF(J9=0,"Sí","")</f>
        <v>Sí</v>
      </c>
      <c r="L9" s="72" t="n">
        <f aca="false">SUM(BQ9:BV9)</f>
        <v>480</v>
      </c>
      <c r="M9" s="33" t="n">
        <f aca="false">SUMIFS(Cotizaciones!$J$5:$J$70,Cotizaciones!$C$5:$C$70,A9)</f>
        <v>0</v>
      </c>
      <c r="N9" s="32" t="n">
        <f aca="false">(L9*Supuestos!$B$47+M9*(1+Supuestos!$B$50))*(1+Supuestos!$B$51)/(1-Supuestos!$B$52)</f>
        <v>77975708.5020243</v>
      </c>
      <c r="O9" s="73" t="n">
        <f aca="false">$C$3+F9*7</f>
        <v>46405</v>
      </c>
      <c r="P9" s="73" t="n">
        <f aca="false">$C$3+G9*7-IF(D9&gt;0,1,0)</f>
        <v>46425</v>
      </c>
      <c r="Q9" s="74" t="n">
        <v>0</v>
      </c>
      <c r="R9" s="75" t="str">
        <f aca="false">IF(AND(R$5&gt;$F9,R$5&lt;=$G9),IF($K9="Sí",2,1),IF(AND($D9=0,R$5=$G9),3,""))</f>
        <v/>
      </c>
      <c r="S9" s="75" t="n">
        <f aca="false">IF(AND(S$5&gt;$F9,S$5&lt;=$G9),IF($K9="Sí",2,1),IF(AND($D9=0,S$5=$G9),3,""))</f>
        <v>2</v>
      </c>
      <c r="T9" s="75" t="n">
        <f aca="false">IF(AND(T$5&gt;$F9,T$5&lt;=$G9),IF($K9="Sí",2,1),IF(AND($D9=0,T$5=$G9),3,""))</f>
        <v>2</v>
      </c>
      <c r="U9" s="75" t="n">
        <f aca="false">IF(AND(U$5&gt;$F9,U$5&lt;=$G9),IF($K9="Sí",2,1),IF(AND($D9=0,U$5=$G9),3,""))</f>
        <v>2</v>
      </c>
      <c r="V9" s="75" t="str">
        <f aca="false">IF(AND(V$5&gt;$F9,V$5&lt;=$G9),IF($K9="Sí",2,1),IF(AND($D9=0,V$5=$G9),3,""))</f>
        <v/>
      </c>
      <c r="W9" s="75" t="str">
        <f aca="false">IF(AND(W$5&gt;$F9,W$5&lt;=$G9),IF($K9="Sí",2,1),IF(AND($D9=0,W$5=$G9),3,""))</f>
        <v/>
      </c>
      <c r="X9" s="75" t="str">
        <f aca="false">IF(AND(X$5&gt;$F9,X$5&lt;=$G9),IF($K9="Sí",2,1),IF(AND($D9=0,X$5=$G9),3,""))</f>
        <v/>
      </c>
      <c r="Y9" s="75" t="str">
        <f aca="false">IF(AND(Y$5&gt;$F9,Y$5&lt;=$G9),IF($K9="Sí",2,1),IF(AND($D9=0,Y$5=$G9),3,""))</f>
        <v/>
      </c>
      <c r="Z9" s="75" t="str">
        <f aca="false">IF(AND(Z$5&gt;$F9,Z$5&lt;=$G9),IF($K9="Sí",2,1),IF(AND($D9=0,Z$5=$G9),3,""))</f>
        <v/>
      </c>
      <c r="AA9" s="75" t="str">
        <f aca="false">IF(AND(AA$5&gt;$F9,AA$5&lt;=$G9),IF($K9="Sí",2,1),IF(AND($D9=0,AA$5=$G9),3,""))</f>
        <v/>
      </c>
      <c r="AB9" s="75" t="str">
        <f aca="false">IF(AND(AB$5&gt;$F9,AB$5&lt;=$G9),IF($K9="Sí",2,1),IF(AND($D9=0,AB$5=$G9),3,""))</f>
        <v/>
      </c>
      <c r="AC9" s="75" t="str">
        <f aca="false">IF(AND(AC$5&gt;$F9,AC$5&lt;=$G9),IF($K9="Sí",2,1),IF(AND($D9=0,AC$5=$G9),3,""))</f>
        <v/>
      </c>
      <c r="AD9" s="75" t="str">
        <f aca="false">IF(AND(AD$5&gt;$F9,AD$5&lt;=$G9),IF($K9="Sí",2,1),IF(AND($D9=0,AD$5=$G9),3,""))</f>
        <v/>
      </c>
      <c r="AE9" s="75" t="str">
        <f aca="false">IF(AND(AE$5&gt;$F9,AE$5&lt;=$G9),IF($K9="Sí",2,1),IF(AND($D9=0,AE$5=$G9),3,""))</f>
        <v/>
      </c>
      <c r="AF9" s="75" t="str">
        <f aca="false">IF(AND(AF$5&gt;$F9,AF$5&lt;=$G9),IF($K9="Sí",2,1),IF(AND($D9=0,AF$5=$G9),3,""))</f>
        <v/>
      </c>
      <c r="AG9" s="75" t="str">
        <f aca="false">IF(AND(AG$5&gt;$F9,AG$5&lt;=$G9),IF($K9="Sí",2,1),IF(AND($D9=0,AG$5=$G9),3,""))</f>
        <v/>
      </c>
      <c r="AH9" s="75" t="str">
        <f aca="false">IF(AND(AH$5&gt;$F9,AH$5&lt;=$G9),IF($K9="Sí",2,1),IF(AND($D9=0,AH$5=$G9),3,""))</f>
        <v/>
      </c>
      <c r="AI9" s="75" t="str">
        <f aca="false">IF(AND(AI$5&gt;$F9,AI$5&lt;=$G9),IF($K9="Sí",2,1),IF(AND($D9=0,AI$5=$G9),3,""))</f>
        <v/>
      </c>
      <c r="AJ9" s="75" t="str">
        <f aca="false">IF(AND(AJ$5&gt;$F9,AJ$5&lt;=$G9),IF($K9="Sí",2,1),IF(AND($D9=0,AJ$5=$G9),3,""))</f>
        <v/>
      </c>
      <c r="AK9" s="75" t="str">
        <f aca="false">IF(AND(AK$5&gt;$F9,AK$5&lt;=$G9),IF($K9="Sí",2,1),IF(AND($D9=0,AK$5=$G9),3,""))</f>
        <v/>
      </c>
      <c r="AL9" s="75" t="str">
        <f aca="false">IF(AND(AL$5&gt;$F9,AL$5&lt;=$G9),IF($K9="Sí",2,1),IF(AND($D9=0,AL$5=$G9),3,""))</f>
        <v/>
      </c>
      <c r="AM9" s="75" t="str">
        <f aca="false">IF(AND(AM$5&gt;$F9,AM$5&lt;=$G9),IF($K9="Sí",2,1),IF(AND($D9=0,AM$5=$G9),3,""))</f>
        <v/>
      </c>
      <c r="AN9" s="75" t="str">
        <f aca="false">IF(AND(AN$5&gt;$F9,AN$5&lt;=$G9),IF($K9="Sí",2,1),IF(AND($D9=0,AN$5=$G9),3,""))</f>
        <v/>
      </c>
      <c r="AO9" s="75" t="str">
        <f aca="false">IF(AND(AO$5&gt;$F9,AO$5&lt;=$G9),IF($K9="Sí",2,1),IF(AND($D9=0,AO$5=$G9),3,""))</f>
        <v/>
      </c>
      <c r="AP9" s="75" t="str">
        <f aca="false">IF(AND(AP$5&gt;$F9,AP$5&lt;=$G9),IF($K9="Sí",2,1),IF(AND($D9=0,AP$5=$G9),3,""))</f>
        <v/>
      </c>
      <c r="AQ9" s="75" t="str">
        <f aca="false">IF(AND(AQ$5&gt;$F9,AQ$5&lt;=$G9),IF($K9="Sí",2,1),IF(AND($D9=0,AQ$5=$G9),3,""))</f>
        <v/>
      </c>
      <c r="AR9" s="75" t="str">
        <f aca="false">IF(AND(AR$5&gt;$F9,AR$5&lt;=$G9),IF($K9="Sí",2,1),IF(AND($D9=0,AR$5=$G9),3,""))</f>
        <v/>
      </c>
      <c r="AS9" s="75" t="str">
        <f aca="false">IF(AND(AS$5&gt;$F9,AS$5&lt;=$G9),IF($K9="Sí",2,1),IF(AND($D9=0,AS$5=$G9),3,""))</f>
        <v/>
      </c>
      <c r="AT9" s="75" t="str">
        <f aca="false">IF(AND(AT$5&gt;$F9,AT$5&lt;=$G9),IF($K9="Sí",2,1),IF(AND($D9=0,AT$5=$G9),3,""))</f>
        <v/>
      </c>
      <c r="AU9" s="75" t="str">
        <f aca="false">IF(AND(AU$5&gt;$F9,AU$5&lt;=$G9),IF($K9="Sí",2,1),IF(AND($D9=0,AU$5=$G9),3,""))</f>
        <v/>
      </c>
      <c r="AV9" s="75" t="str">
        <f aca="false">IF(AND(AV$5&gt;$F9,AV$5&lt;=$G9),IF($K9="Sí",2,1),IF(AND($D9=0,AV$5=$G9),3,""))</f>
        <v/>
      </c>
      <c r="AW9" s="75" t="str">
        <f aca="false">IF(AND(AW$5&gt;$F9,AW$5&lt;=$G9),IF($K9="Sí",2,1),IF(AND($D9=0,AW$5=$G9),3,""))</f>
        <v/>
      </c>
      <c r="AX9" s="75" t="str">
        <f aca="false">IF(AND(AX$5&gt;$F9,AX$5&lt;=$G9),IF($K9="Sí",2,1),IF(AND($D9=0,AX$5=$G9),3,""))</f>
        <v/>
      </c>
      <c r="AY9" s="75" t="str">
        <f aca="false">IF(AND(AY$5&gt;$F9,AY$5&lt;=$G9),IF($K9="Sí",2,1),IF(AND($D9=0,AY$5=$G9),3,""))</f>
        <v/>
      </c>
      <c r="AZ9" s="75" t="str">
        <f aca="false">IF(AND(AZ$5&gt;$F9,AZ$5&lt;=$G9),IF($K9="Sí",2,1),IF(AND($D9=0,AZ$5=$G9),3,""))</f>
        <v/>
      </c>
      <c r="BA9" s="75" t="str">
        <f aca="false">IF(AND(BA$5&gt;$F9,BA$5&lt;=$G9),IF($K9="Sí",2,1),IF(AND($D9=0,BA$5=$G9),3,""))</f>
        <v/>
      </c>
      <c r="BB9" s="75" t="str">
        <f aca="false">IF(AND(BB$5&gt;$F9,BB$5&lt;=$G9),IF($K9="Sí",2,1),IF(AND($D9=0,BB$5=$G9),3,""))</f>
        <v/>
      </c>
      <c r="BC9" s="75" t="str">
        <f aca="false">IF(AND(BC$5&gt;$F9,BC$5&lt;=$G9),IF($K9="Sí",2,1),IF(AND($D9=0,BC$5=$G9),3,""))</f>
        <v/>
      </c>
      <c r="BD9" s="75" t="str">
        <f aca="false">IF(AND(BD$5&gt;$F9,BD$5&lt;=$G9),IF($K9="Sí",2,1),IF(AND($D9=0,BD$5=$G9),3,""))</f>
        <v/>
      </c>
      <c r="BE9" s="75" t="str">
        <f aca="false">IF(AND(BE$5&gt;$F9,BE$5&lt;=$G9),IF($K9="Sí",2,1),IF(AND($D9=0,BE$5=$G9),3,""))</f>
        <v/>
      </c>
      <c r="BF9" s="75" t="str">
        <f aca="false">IF(AND(BF$5&gt;$F9,BF$5&lt;=$G9),IF($K9="Sí",2,1),IF(AND($D9=0,BF$5=$G9),3,""))</f>
        <v/>
      </c>
      <c r="BG9" s="75" t="str">
        <f aca="false">IF(AND(BG$5&gt;$F9,BG$5&lt;=$G9),IF($K9="Sí",2,1),IF(AND($D9=0,BG$5=$G9),3,""))</f>
        <v/>
      </c>
      <c r="BH9" s="75" t="str">
        <f aca="false">IF(AND(BH$5&gt;$F9,BH$5&lt;=$G9),IF($K9="Sí",2,1),IF(AND($D9=0,BH$5=$G9),3,""))</f>
        <v/>
      </c>
      <c r="BI9" s="75" t="str">
        <f aca="false">IF(AND(BI$5&gt;$F9,BI$5&lt;=$G9),IF($K9="Sí",2,1),IF(AND($D9=0,BI$5=$G9),3,""))</f>
        <v/>
      </c>
      <c r="BJ9" s="75" t="str">
        <f aca="false">IF(AND(BJ$5&gt;$F9,BJ$5&lt;=$G9),IF($K9="Sí",2,1),IF(AND($D9=0,BJ$5=$G9),3,""))</f>
        <v/>
      </c>
      <c r="BK9" s="75" t="str">
        <f aca="false">IF(AND(BK$5&gt;$F9,BK$5&lt;=$G9),IF($K9="Sí",2,1),IF(AND($D9=0,BK$5=$G9),3,""))</f>
        <v/>
      </c>
      <c r="BL9" s="75" t="str">
        <f aca="false">IF(AND(BL$5&gt;$F9,BL$5&lt;=$G9),IF($K9="Sí",2,1),IF(AND($D9=0,BL$5=$G9),3,""))</f>
        <v/>
      </c>
      <c r="BM9" s="75" t="str">
        <f aca="false">IF(AND(BM$5&gt;$F9,BM$5&lt;=$G9),IF($K9="Sí",2,1),IF(AND($D9=0,BM$5=$G9),3,""))</f>
        <v/>
      </c>
      <c r="BN9" s="75" t="str">
        <f aca="false">IF(AND(BN$5&gt;$F9,BN$5&lt;=$G9),IF($K9="Sí",2,1),IF(AND($D9=0,BN$5=$G9),3,""))</f>
        <v/>
      </c>
      <c r="BO9" s="75" t="str">
        <f aca="false">IF(AND(BO$5&gt;$F9,BO$5&lt;=$G9),IF($K9="Sí",2,1),IF(AND($D9=0,BO$5=$G9),3,""))</f>
        <v/>
      </c>
      <c r="BQ9" s="59" t="n">
        <v>0</v>
      </c>
      <c r="BR9" s="59" t="n">
        <v>21</v>
      </c>
      <c r="BS9" s="59" t="n">
        <v>131</v>
      </c>
      <c r="BT9" s="59" t="n">
        <v>131</v>
      </c>
      <c r="BU9" s="59" t="n">
        <v>66</v>
      </c>
      <c r="BV9" s="59" t="n">
        <v>131</v>
      </c>
      <c r="BW9" s="76" t="n">
        <f aca="false">L9-480</f>
        <v>0</v>
      </c>
      <c r="BX9" s="77" t="n">
        <f aca="false">IF($D9=0,0,BQ9/$D9)</f>
        <v>0</v>
      </c>
      <c r="BY9" s="77" t="n">
        <f aca="false">IF($D9=0,0,BR9/$D9)</f>
        <v>7</v>
      </c>
      <c r="BZ9" s="77" t="n">
        <f aca="false">IF($D9=0,0,BS9/$D9)</f>
        <v>43.6666666666667</v>
      </c>
      <c r="CA9" s="77" t="n">
        <f aca="false">IF($D9=0,0,BT9/$D9)</f>
        <v>43.6666666666667</v>
      </c>
      <c r="CB9" s="77" t="n">
        <f aca="false">IF($D9=0,0,BU9/$D9)</f>
        <v>22</v>
      </c>
      <c r="CC9" s="77" t="n">
        <f aca="false">IF($D9=0,0,BV9/$D9)</f>
        <v>43.6666666666667</v>
      </c>
    </row>
    <row r="10" customFormat="false" ht="15" hidden="false" customHeight="true" outlineLevel="0" collapsed="false">
      <c r="A10" s="7" t="s">
        <v>1386</v>
      </c>
      <c r="B10" s="7" t="s">
        <v>1387</v>
      </c>
      <c r="C10" s="7" t="s">
        <v>1388</v>
      </c>
      <c r="D10" s="30" t="n">
        <v>3</v>
      </c>
      <c r="E10" s="7" t="s">
        <v>1383</v>
      </c>
      <c r="F10" s="32" t="n">
        <f aca="false">MAX(G9)+Q10</f>
        <v>4</v>
      </c>
      <c r="G10" s="32" t="n">
        <f aca="false">F10+D10</f>
        <v>7</v>
      </c>
      <c r="H10" s="32" t="n">
        <f aca="false">I10-D10</f>
        <v>4</v>
      </c>
      <c r="I10" s="32" t="n">
        <f aca="false">MIN(H12)</f>
        <v>7</v>
      </c>
      <c r="J10" s="32" t="n">
        <f aca="false">H10-F10</f>
        <v>0</v>
      </c>
      <c r="K10" s="71" t="str">
        <f aca="false">IF(J10=0,"Sí","")</f>
        <v>Sí</v>
      </c>
      <c r="L10" s="72" t="n">
        <f aca="false">SUM(BQ10:BV10)</f>
        <v>300</v>
      </c>
      <c r="M10" s="33" t="n">
        <f aca="false">SUMIFS(Cotizaciones!$J$5:$J$70,Cotizaciones!$C$5:$C$70,A10)</f>
        <v>0</v>
      </c>
      <c r="N10" s="32" t="n">
        <f aca="false">(L10*Supuestos!$B$47+M10*(1+Supuestos!$B$50))*(1+Supuestos!$B$51)/(1-Supuestos!$B$52)</f>
        <v>48734817.8137652</v>
      </c>
      <c r="O10" s="73" t="n">
        <f aca="false">$C$3+F10*7</f>
        <v>46426</v>
      </c>
      <c r="P10" s="73" t="n">
        <f aca="false">$C$3+G10*7-IF(D10&gt;0,1,0)</f>
        <v>46446</v>
      </c>
      <c r="Q10" s="74" t="n">
        <v>0</v>
      </c>
      <c r="R10" s="75" t="str">
        <f aca="false">IF(AND(R$5&gt;$F10,R$5&lt;=$G10),IF($K10="Sí",2,1),IF(AND($D10=0,R$5=$G10),3,""))</f>
        <v/>
      </c>
      <c r="S10" s="75" t="str">
        <f aca="false">IF(AND(S$5&gt;$F10,S$5&lt;=$G10),IF($K10="Sí",2,1),IF(AND($D10=0,S$5=$G10),3,""))</f>
        <v/>
      </c>
      <c r="T10" s="75" t="str">
        <f aca="false">IF(AND(T$5&gt;$F10,T$5&lt;=$G10),IF($K10="Sí",2,1),IF(AND($D10=0,T$5=$G10),3,""))</f>
        <v/>
      </c>
      <c r="U10" s="75" t="str">
        <f aca="false">IF(AND(U$5&gt;$F10,U$5&lt;=$G10),IF($K10="Sí",2,1),IF(AND($D10=0,U$5=$G10),3,""))</f>
        <v/>
      </c>
      <c r="V10" s="75" t="n">
        <f aca="false">IF(AND(V$5&gt;$F10,V$5&lt;=$G10),IF($K10="Sí",2,1),IF(AND($D10=0,V$5=$G10),3,""))</f>
        <v>2</v>
      </c>
      <c r="W10" s="75" t="n">
        <f aca="false">IF(AND(W$5&gt;$F10,W$5&lt;=$G10),IF($K10="Sí",2,1),IF(AND($D10=0,W$5=$G10),3,""))</f>
        <v>2</v>
      </c>
      <c r="X10" s="75" t="n">
        <f aca="false">IF(AND(X$5&gt;$F10,X$5&lt;=$G10),IF($K10="Sí",2,1),IF(AND($D10=0,X$5=$G10),3,""))</f>
        <v>2</v>
      </c>
      <c r="Y10" s="75" t="str">
        <f aca="false">IF(AND(Y$5&gt;$F10,Y$5&lt;=$G10),IF($K10="Sí",2,1),IF(AND($D10=0,Y$5=$G10),3,""))</f>
        <v/>
      </c>
      <c r="Z10" s="75" t="str">
        <f aca="false">IF(AND(Z$5&gt;$F10,Z$5&lt;=$G10),IF($K10="Sí",2,1),IF(AND($D10=0,Z$5=$G10),3,""))</f>
        <v/>
      </c>
      <c r="AA10" s="75" t="str">
        <f aca="false">IF(AND(AA$5&gt;$F10,AA$5&lt;=$G10),IF($K10="Sí",2,1),IF(AND($D10=0,AA$5=$G10),3,""))</f>
        <v/>
      </c>
      <c r="AB10" s="75" t="str">
        <f aca="false">IF(AND(AB$5&gt;$F10,AB$5&lt;=$G10),IF($K10="Sí",2,1),IF(AND($D10=0,AB$5=$G10),3,""))</f>
        <v/>
      </c>
      <c r="AC10" s="75" t="str">
        <f aca="false">IF(AND(AC$5&gt;$F10,AC$5&lt;=$G10),IF($K10="Sí",2,1),IF(AND($D10=0,AC$5=$G10),3,""))</f>
        <v/>
      </c>
      <c r="AD10" s="75" t="str">
        <f aca="false">IF(AND(AD$5&gt;$F10,AD$5&lt;=$G10),IF($K10="Sí",2,1),IF(AND($D10=0,AD$5=$G10),3,""))</f>
        <v/>
      </c>
      <c r="AE10" s="75" t="str">
        <f aca="false">IF(AND(AE$5&gt;$F10,AE$5&lt;=$G10),IF($K10="Sí",2,1),IF(AND($D10=0,AE$5=$G10),3,""))</f>
        <v/>
      </c>
      <c r="AF10" s="75" t="str">
        <f aca="false">IF(AND(AF$5&gt;$F10,AF$5&lt;=$G10),IF($K10="Sí",2,1),IF(AND($D10=0,AF$5=$G10),3,""))</f>
        <v/>
      </c>
      <c r="AG10" s="75" t="str">
        <f aca="false">IF(AND(AG$5&gt;$F10,AG$5&lt;=$G10),IF($K10="Sí",2,1),IF(AND($D10=0,AG$5=$G10),3,""))</f>
        <v/>
      </c>
      <c r="AH10" s="75" t="str">
        <f aca="false">IF(AND(AH$5&gt;$F10,AH$5&lt;=$G10),IF($K10="Sí",2,1),IF(AND($D10=0,AH$5=$G10),3,""))</f>
        <v/>
      </c>
      <c r="AI10" s="75" t="str">
        <f aca="false">IF(AND(AI$5&gt;$F10,AI$5&lt;=$G10),IF($K10="Sí",2,1),IF(AND($D10=0,AI$5=$G10),3,""))</f>
        <v/>
      </c>
      <c r="AJ10" s="75" t="str">
        <f aca="false">IF(AND(AJ$5&gt;$F10,AJ$5&lt;=$G10),IF($K10="Sí",2,1),IF(AND($D10=0,AJ$5=$G10),3,""))</f>
        <v/>
      </c>
      <c r="AK10" s="75" t="str">
        <f aca="false">IF(AND(AK$5&gt;$F10,AK$5&lt;=$G10),IF($K10="Sí",2,1),IF(AND($D10=0,AK$5=$G10),3,""))</f>
        <v/>
      </c>
      <c r="AL10" s="75" t="str">
        <f aca="false">IF(AND(AL$5&gt;$F10,AL$5&lt;=$G10),IF($K10="Sí",2,1),IF(AND($D10=0,AL$5=$G10),3,""))</f>
        <v/>
      </c>
      <c r="AM10" s="75" t="str">
        <f aca="false">IF(AND(AM$5&gt;$F10,AM$5&lt;=$G10),IF($K10="Sí",2,1),IF(AND($D10=0,AM$5=$G10),3,""))</f>
        <v/>
      </c>
      <c r="AN10" s="75" t="str">
        <f aca="false">IF(AND(AN$5&gt;$F10,AN$5&lt;=$G10),IF($K10="Sí",2,1),IF(AND($D10=0,AN$5=$G10),3,""))</f>
        <v/>
      </c>
      <c r="AO10" s="75" t="str">
        <f aca="false">IF(AND(AO$5&gt;$F10,AO$5&lt;=$G10),IF($K10="Sí",2,1),IF(AND($D10=0,AO$5=$G10),3,""))</f>
        <v/>
      </c>
      <c r="AP10" s="75" t="str">
        <f aca="false">IF(AND(AP$5&gt;$F10,AP$5&lt;=$G10),IF($K10="Sí",2,1),IF(AND($D10=0,AP$5=$G10),3,""))</f>
        <v/>
      </c>
      <c r="AQ10" s="75" t="str">
        <f aca="false">IF(AND(AQ$5&gt;$F10,AQ$5&lt;=$G10),IF($K10="Sí",2,1),IF(AND($D10=0,AQ$5=$G10),3,""))</f>
        <v/>
      </c>
      <c r="AR10" s="75" t="str">
        <f aca="false">IF(AND(AR$5&gt;$F10,AR$5&lt;=$G10),IF($K10="Sí",2,1),IF(AND($D10=0,AR$5=$G10),3,""))</f>
        <v/>
      </c>
      <c r="AS10" s="75" t="str">
        <f aca="false">IF(AND(AS$5&gt;$F10,AS$5&lt;=$G10),IF($K10="Sí",2,1),IF(AND($D10=0,AS$5=$G10),3,""))</f>
        <v/>
      </c>
      <c r="AT10" s="75" t="str">
        <f aca="false">IF(AND(AT$5&gt;$F10,AT$5&lt;=$G10),IF($K10="Sí",2,1),IF(AND($D10=0,AT$5=$G10),3,""))</f>
        <v/>
      </c>
      <c r="AU10" s="75" t="str">
        <f aca="false">IF(AND(AU$5&gt;$F10,AU$5&lt;=$G10),IF($K10="Sí",2,1),IF(AND($D10=0,AU$5=$G10),3,""))</f>
        <v/>
      </c>
      <c r="AV10" s="75" t="str">
        <f aca="false">IF(AND(AV$5&gt;$F10,AV$5&lt;=$G10),IF($K10="Sí",2,1),IF(AND($D10=0,AV$5=$G10),3,""))</f>
        <v/>
      </c>
      <c r="AW10" s="75" t="str">
        <f aca="false">IF(AND(AW$5&gt;$F10,AW$5&lt;=$G10),IF($K10="Sí",2,1),IF(AND($D10=0,AW$5=$G10),3,""))</f>
        <v/>
      </c>
      <c r="AX10" s="75" t="str">
        <f aca="false">IF(AND(AX$5&gt;$F10,AX$5&lt;=$G10),IF($K10="Sí",2,1),IF(AND($D10=0,AX$5=$G10),3,""))</f>
        <v/>
      </c>
      <c r="AY10" s="75" t="str">
        <f aca="false">IF(AND(AY$5&gt;$F10,AY$5&lt;=$G10),IF($K10="Sí",2,1),IF(AND($D10=0,AY$5=$G10),3,""))</f>
        <v/>
      </c>
      <c r="AZ10" s="75" t="str">
        <f aca="false">IF(AND(AZ$5&gt;$F10,AZ$5&lt;=$G10),IF($K10="Sí",2,1),IF(AND($D10=0,AZ$5=$G10),3,""))</f>
        <v/>
      </c>
      <c r="BA10" s="75" t="str">
        <f aca="false">IF(AND(BA$5&gt;$F10,BA$5&lt;=$G10),IF($K10="Sí",2,1),IF(AND($D10=0,BA$5=$G10),3,""))</f>
        <v/>
      </c>
      <c r="BB10" s="75" t="str">
        <f aca="false">IF(AND(BB$5&gt;$F10,BB$5&lt;=$G10),IF($K10="Sí",2,1),IF(AND($D10=0,BB$5=$G10),3,""))</f>
        <v/>
      </c>
      <c r="BC10" s="75" t="str">
        <f aca="false">IF(AND(BC$5&gt;$F10,BC$5&lt;=$G10),IF($K10="Sí",2,1),IF(AND($D10=0,BC$5=$G10),3,""))</f>
        <v/>
      </c>
      <c r="BD10" s="75" t="str">
        <f aca="false">IF(AND(BD$5&gt;$F10,BD$5&lt;=$G10),IF($K10="Sí",2,1),IF(AND($D10=0,BD$5=$G10),3,""))</f>
        <v/>
      </c>
      <c r="BE10" s="75" t="str">
        <f aca="false">IF(AND(BE$5&gt;$F10,BE$5&lt;=$G10),IF($K10="Sí",2,1),IF(AND($D10=0,BE$5=$G10),3,""))</f>
        <v/>
      </c>
      <c r="BF10" s="75" t="str">
        <f aca="false">IF(AND(BF$5&gt;$F10,BF$5&lt;=$G10),IF($K10="Sí",2,1),IF(AND($D10=0,BF$5=$G10),3,""))</f>
        <v/>
      </c>
      <c r="BG10" s="75" t="str">
        <f aca="false">IF(AND(BG$5&gt;$F10,BG$5&lt;=$G10),IF($K10="Sí",2,1),IF(AND($D10=0,BG$5=$G10),3,""))</f>
        <v/>
      </c>
      <c r="BH10" s="75" t="str">
        <f aca="false">IF(AND(BH$5&gt;$F10,BH$5&lt;=$G10),IF($K10="Sí",2,1),IF(AND($D10=0,BH$5=$G10),3,""))</f>
        <v/>
      </c>
      <c r="BI10" s="75" t="str">
        <f aca="false">IF(AND(BI$5&gt;$F10,BI$5&lt;=$G10),IF($K10="Sí",2,1),IF(AND($D10=0,BI$5=$G10),3,""))</f>
        <v/>
      </c>
      <c r="BJ10" s="75" t="str">
        <f aca="false">IF(AND(BJ$5&gt;$F10,BJ$5&lt;=$G10),IF($K10="Sí",2,1),IF(AND($D10=0,BJ$5=$G10),3,""))</f>
        <v/>
      </c>
      <c r="BK10" s="75" t="str">
        <f aca="false">IF(AND(BK$5&gt;$F10,BK$5&lt;=$G10),IF($K10="Sí",2,1),IF(AND($D10=0,BK$5=$G10),3,""))</f>
        <v/>
      </c>
      <c r="BL10" s="75" t="str">
        <f aca="false">IF(AND(BL$5&gt;$F10,BL$5&lt;=$G10),IF($K10="Sí",2,1),IF(AND($D10=0,BL$5=$G10),3,""))</f>
        <v/>
      </c>
      <c r="BM10" s="75" t="str">
        <f aca="false">IF(AND(BM$5&gt;$F10,BM$5&lt;=$G10),IF($K10="Sí",2,1),IF(AND($D10=0,BM$5=$G10),3,""))</f>
        <v/>
      </c>
      <c r="BN10" s="75" t="str">
        <f aca="false">IF(AND(BN$5&gt;$F10,BN$5&lt;=$G10),IF($K10="Sí",2,1),IF(AND($D10=0,BN$5=$G10),3,""))</f>
        <v/>
      </c>
      <c r="BO10" s="75" t="str">
        <f aca="false">IF(AND(BO$5&gt;$F10,BO$5&lt;=$G10),IF($K10="Sí",2,1),IF(AND($D10=0,BO$5=$G10),3,""))</f>
        <v/>
      </c>
      <c r="BQ10" s="59" t="n">
        <v>0</v>
      </c>
      <c r="BR10" s="59" t="n">
        <v>0</v>
      </c>
      <c r="BS10" s="59" t="n">
        <v>38</v>
      </c>
      <c r="BT10" s="59" t="n">
        <v>131</v>
      </c>
      <c r="BU10" s="59" t="n">
        <v>0</v>
      </c>
      <c r="BV10" s="59" t="n">
        <v>131</v>
      </c>
      <c r="BW10" s="76" t="n">
        <f aca="false">L10-300</f>
        <v>0</v>
      </c>
      <c r="BX10" s="77" t="n">
        <f aca="false">IF($D10=0,0,BQ10/$D10)</f>
        <v>0</v>
      </c>
      <c r="BY10" s="77" t="n">
        <f aca="false">IF($D10=0,0,BR10/$D10)</f>
        <v>0</v>
      </c>
      <c r="BZ10" s="77" t="n">
        <f aca="false">IF($D10=0,0,BS10/$D10)</f>
        <v>12.6666666666667</v>
      </c>
      <c r="CA10" s="77" t="n">
        <f aca="false">IF($D10=0,0,BT10/$D10)</f>
        <v>43.6666666666667</v>
      </c>
      <c r="CB10" s="77" t="n">
        <f aca="false">IF($D10=0,0,BU10/$D10)</f>
        <v>0</v>
      </c>
      <c r="CC10" s="77" t="n">
        <f aca="false">IF($D10=0,0,BV10/$D10)</f>
        <v>43.6666666666667</v>
      </c>
    </row>
    <row r="11" customFormat="false" ht="15" hidden="false" customHeight="true" outlineLevel="0" collapsed="false">
      <c r="A11" s="7" t="s">
        <v>1389</v>
      </c>
      <c r="B11" s="7" t="s">
        <v>1390</v>
      </c>
      <c r="C11" s="7" t="s">
        <v>1391</v>
      </c>
      <c r="D11" s="30" t="n">
        <v>3</v>
      </c>
      <c r="E11" s="7" t="s">
        <v>1383</v>
      </c>
      <c r="F11" s="32" t="n">
        <f aca="false">MAX(G9)+Q11</f>
        <v>4</v>
      </c>
      <c r="G11" s="32" t="n">
        <f aca="false">F11+D11</f>
        <v>7</v>
      </c>
      <c r="H11" s="32" t="n">
        <f aca="false">I11-D11</f>
        <v>4</v>
      </c>
      <c r="I11" s="32" t="n">
        <f aca="false">MIN(H12)</f>
        <v>7</v>
      </c>
      <c r="J11" s="32" t="n">
        <f aca="false">H11-F11</f>
        <v>0</v>
      </c>
      <c r="K11" s="71" t="str">
        <f aca="false">IF(J11=0,"Sí","")</f>
        <v>Sí</v>
      </c>
      <c r="L11" s="72" t="n">
        <f aca="false">SUM(BQ11:BV11)</f>
        <v>360</v>
      </c>
      <c r="M11" s="33" t="n">
        <f aca="false">SUMIFS(Cotizaciones!$J$5:$J$70,Cotizaciones!$C$5:$C$70,A11)</f>
        <v>0</v>
      </c>
      <c r="N11" s="32" t="n">
        <f aca="false">(L11*Supuestos!$B$47+M11*(1+Supuestos!$B$50))*(1+Supuestos!$B$51)/(1-Supuestos!$B$52)</f>
        <v>58481781.3765182</v>
      </c>
      <c r="O11" s="73" t="n">
        <f aca="false">$C$3+F11*7</f>
        <v>46426</v>
      </c>
      <c r="P11" s="73" t="n">
        <f aca="false">$C$3+G11*7-IF(D11&gt;0,1,0)</f>
        <v>46446</v>
      </c>
      <c r="Q11" s="74" t="n">
        <v>0</v>
      </c>
      <c r="R11" s="75" t="str">
        <f aca="false">IF(AND(R$5&gt;$F11,R$5&lt;=$G11),IF($K11="Sí",2,1),IF(AND($D11=0,R$5=$G11),3,""))</f>
        <v/>
      </c>
      <c r="S11" s="75" t="str">
        <f aca="false">IF(AND(S$5&gt;$F11,S$5&lt;=$G11),IF($K11="Sí",2,1),IF(AND($D11=0,S$5=$G11),3,""))</f>
        <v/>
      </c>
      <c r="T11" s="75" t="str">
        <f aca="false">IF(AND(T$5&gt;$F11,T$5&lt;=$G11),IF($K11="Sí",2,1),IF(AND($D11=0,T$5=$G11),3,""))</f>
        <v/>
      </c>
      <c r="U11" s="75" t="str">
        <f aca="false">IF(AND(U$5&gt;$F11,U$5&lt;=$G11),IF($K11="Sí",2,1),IF(AND($D11=0,U$5=$G11),3,""))</f>
        <v/>
      </c>
      <c r="V11" s="75" t="n">
        <f aca="false">IF(AND(V$5&gt;$F11,V$5&lt;=$G11),IF($K11="Sí",2,1),IF(AND($D11=0,V$5=$G11),3,""))</f>
        <v>2</v>
      </c>
      <c r="W11" s="75" t="n">
        <f aca="false">IF(AND(W$5&gt;$F11,W$5&lt;=$G11),IF($K11="Sí",2,1),IF(AND($D11=0,W$5=$G11),3,""))</f>
        <v>2</v>
      </c>
      <c r="X11" s="75" t="n">
        <f aca="false">IF(AND(X$5&gt;$F11,X$5&lt;=$G11),IF($K11="Sí",2,1),IF(AND($D11=0,X$5=$G11),3,""))</f>
        <v>2</v>
      </c>
      <c r="Y11" s="75" t="str">
        <f aca="false">IF(AND(Y$5&gt;$F11,Y$5&lt;=$G11),IF($K11="Sí",2,1),IF(AND($D11=0,Y$5=$G11),3,""))</f>
        <v/>
      </c>
      <c r="Z11" s="75" t="str">
        <f aca="false">IF(AND(Z$5&gt;$F11,Z$5&lt;=$G11),IF($K11="Sí",2,1),IF(AND($D11=0,Z$5=$G11),3,""))</f>
        <v/>
      </c>
      <c r="AA11" s="75" t="str">
        <f aca="false">IF(AND(AA$5&gt;$F11,AA$5&lt;=$G11),IF($K11="Sí",2,1),IF(AND($D11=0,AA$5=$G11),3,""))</f>
        <v/>
      </c>
      <c r="AB11" s="75" t="str">
        <f aca="false">IF(AND(AB$5&gt;$F11,AB$5&lt;=$G11),IF($K11="Sí",2,1),IF(AND($D11=0,AB$5=$G11),3,""))</f>
        <v/>
      </c>
      <c r="AC11" s="75" t="str">
        <f aca="false">IF(AND(AC$5&gt;$F11,AC$5&lt;=$G11),IF($K11="Sí",2,1),IF(AND($D11=0,AC$5=$G11),3,""))</f>
        <v/>
      </c>
      <c r="AD11" s="75" t="str">
        <f aca="false">IF(AND(AD$5&gt;$F11,AD$5&lt;=$G11),IF($K11="Sí",2,1),IF(AND($D11=0,AD$5=$G11),3,""))</f>
        <v/>
      </c>
      <c r="AE11" s="75" t="str">
        <f aca="false">IF(AND(AE$5&gt;$F11,AE$5&lt;=$G11),IF($K11="Sí",2,1),IF(AND($D11=0,AE$5=$G11),3,""))</f>
        <v/>
      </c>
      <c r="AF11" s="75" t="str">
        <f aca="false">IF(AND(AF$5&gt;$F11,AF$5&lt;=$G11),IF($K11="Sí",2,1),IF(AND($D11=0,AF$5=$G11),3,""))</f>
        <v/>
      </c>
      <c r="AG11" s="75" t="str">
        <f aca="false">IF(AND(AG$5&gt;$F11,AG$5&lt;=$G11),IF($K11="Sí",2,1),IF(AND($D11=0,AG$5=$G11),3,""))</f>
        <v/>
      </c>
      <c r="AH11" s="75" t="str">
        <f aca="false">IF(AND(AH$5&gt;$F11,AH$5&lt;=$G11),IF($K11="Sí",2,1),IF(AND($D11=0,AH$5=$G11),3,""))</f>
        <v/>
      </c>
      <c r="AI11" s="75" t="str">
        <f aca="false">IF(AND(AI$5&gt;$F11,AI$5&lt;=$G11),IF($K11="Sí",2,1),IF(AND($D11=0,AI$5=$G11),3,""))</f>
        <v/>
      </c>
      <c r="AJ11" s="75" t="str">
        <f aca="false">IF(AND(AJ$5&gt;$F11,AJ$5&lt;=$G11),IF($K11="Sí",2,1),IF(AND($D11=0,AJ$5=$G11),3,""))</f>
        <v/>
      </c>
      <c r="AK11" s="75" t="str">
        <f aca="false">IF(AND(AK$5&gt;$F11,AK$5&lt;=$G11),IF($K11="Sí",2,1),IF(AND($D11=0,AK$5=$G11),3,""))</f>
        <v/>
      </c>
      <c r="AL11" s="75" t="str">
        <f aca="false">IF(AND(AL$5&gt;$F11,AL$5&lt;=$G11),IF($K11="Sí",2,1),IF(AND($D11=0,AL$5=$G11),3,""))</f>
        <v/>
      </c>
      <c r="AM11" s="75" t="str">
        <f aca="false">IF(AND(AM$5&gt;$F11,AM$5&lt;=$G11),IF($K11="Sí",2,1),IF(AND($D11=0,AM$5=$G11),3,""))</f>
        <v/>
      </c>
      <c r="AN11" s="75" t="str">
        <f aca="false">IF(AND(AN$5&gt;$F11,AN$5&lt;=$G11),IF($K11="Sí",2,1),IF(AND($D11=0,AN$5=$G11),3,""))</f>
        <v/>
      </c>
      <c r="AO11" s="75" t="str">
        <f aca="false">IF(AND(AO$5&gt;$F11,AO$5&lt;=$G11),IF($K11="Sí",2,1),IF(AND($D11=0,AO$5=$G11),3,""))</f>
        <v/>
      </c>
      <c r="AP11" s="75" t="str">
        <f aca="false">IF(AND(AP$5&gt;$F11,AP$5&lt;=$G11),IF($K11="Sí",2,1),IF(AND($D11=0,AP$5=$G11),3,""))</f>
        <v/>
      </c>
      <c r="AQ11" s="75" t="str">
        <f aca="false">IF(AND(AQ$5&gt;$F11,AQ$5&lt;=$G11),IF($K11="Sí",2,1),IF(AND($D11=0,AQ$5=$G11),3,""))</f>
        <v/>
      </c>
      <c r="AR11" s="75" t="str">
        <f aca="false">IF(AND(AR$5&gt;$F11,AR$5&lt;=$G11),IF($K11="Sí",2,1),IF(AND($D11=0,AR$5=$G11),3,""))</f>
        <v/>
      </c>
      <c r="AS11" s="75" t="str">
        <f aca="false">IF(AND(AS$5&gt;$F11,AS$5&lt;=$G11),IF($K11="Sí",2,1),IF(AND($D11=0,AS$5=$G11),3,""))</f>
        <v/>
      </c>
      <c r="AT11" s="75" t="str">
        <f aca="false">IF(AND(AT$5&gt;$F11,AT$5&lt;=$G11),IF($K11="Sí",2,1),IF(AND($D11=0,AT$5=$G11),3,""))</f>
        <v/>
      </c>
      <c r="AU11" s="75" t="str">
        <f aca="false">IF(AND(AU$5&gt;$F11,AU$5&lt;=$G11),IF($K11="Sí",2,1),IF(AND($D11=0,AU$5=$G11),3,""))</f>
        <v/>
      </c>
      <c r="AV11" s="75" t="str">
        <f aca="false">IF(AND(AV$5&gt;$F11,AV$5&lt;=$G11),IF($K11="Sí",2,1),IF(AND($D11=0,AV$5=$G11),3,""))</f>
        <v/>
      </c>
      <c r="AW11" s="75" t="str">
        <f aca="false">IF(AND(AW$5&gt;$F11,AW$5&lt;=$G11),IF($K11="Sí",2,1),IF(AND($D11=0,AW$5=$G11),3,""))</f>
        <v/>
      </c>
      <c r="AX11" s="75" t="str">
        <f aca="false">IF(AND(AX$5&gt;$F11,AX$5&lt;=$G11),IF($K11="Sí",2,1),IF(AND($D11=0,AX$5=$G11),3,""))</f>
        <v/>
      </c>
      <c r="AY11" s="75" t="str">
        <f aca="false">IF(AND(AY$5&gt;$F11,AY$5&lt;=$G11),IF($K11="Sí",2,1),IF(AND($D11=0,AY$5=$G11),3,""))</f>
        <v/>
      </c>
      <c r="AZ11" s="75" t="str">
        <f aca="false">IF(AND(AZ$5&gt;$F11,AZ$5&lt;=$G11),IF($K11="Sí",2,1),IF(AND($D11=0,AZ$5=$G11),3,""))</f>
        <v/>
      </c>
      <c r="BA11" s="75" t="str">
        <f aca="false">IF(AND(BA$5&gt;$F11,BA$5&lt;=$G11),IF($K11="Sí",2,1),IF(AND($D11=0,BA$5=$G11),3,""))</f>
        <v/>
      </c>
      <c r="BB11" s="75" t="str">
        <f aca="false">IF(AND(BB$5&gt;$F11,BB$5&lt;=$G11),IF($K11="Sí",2,1),IF(AND($D11=0,BB$5=$G11),3,""))</f>
        <v/>
      </c>
      <c r="BC11" s="75" t="str">
        <f aca="false">IF(AND(BC$5&gt;$F11,BC$5&lt;=$G11),IF($K11="Sí",2,1),IF(AND($D11=0,BC$5=$G11),3,""))</f>
        <v/>
      </c>
      <c r="BD11" s="75" t="str">
        <f aca="false">IF(AND(BD$5&gt;$F11,BD$5&lt;=$G11),IF($K11="Sí",2,1),IF(AND($D11=0,BD$5=$G11),3,""))</f>
        <v/>
      </c>
      <c r="BE11" s="75" t="str">
        <f aca="false">IF(AND(BE$5&gt;$F11,BE$5&lt;=$G11),IF($K11="Sí",2,1),IF(AND($D11=0,BE$5=$G11),3,""))</f>
        <v/>
      </c>
      <c r="BF11" s="75" t="str">
        <f aca="false">IF(AND(BF$5&gt;$F11,BF$5&lt;=$G11),IF($K11="Sí",2,1),IF(AND($D11=0,BF$5=$G11),3,""))</f>
        <v/>
      </c>
      <c r="BG11" s="75" t="str">
        <f aca="false">IF(AND(BG$5&gt;$F11,BG$5&lt;=$G11),IF($K11="Sí",2,1),IF(AND($D11=0,BG$5=$G11),3,""))</f>
        <v/>
      </c>
      <c r="BH11" s="75" t="str">
        <f aca="false">IF(AND(BH$5&gt;$F11,BH$5&lt;=$G11),IF($K11="Sí",2,1),IF(AND($D11=0,BH$5=$G11),3,""))</f>
        <v/>
      </c>
      <c r="BI11" s="75" t="str">
        <f aca="false">IF(AND(BI$5&gt;$F11,BI$5&lt;=$G11),IF($K11="Sí",2,1),IF(AND($D11=0,BI$5=$G11),3,""))</f>
        <v/>
      </c>
      <c r="BJ11" s="75" t="str">
        <f aca="false">IF(AND(BJ$5&gt;$F11,BJ$5&lt;=$G11),IF($K11="Sí",2,1),IF(AND($D11=0,BJ$5=$G11),3,""))</f>
        <v/>
      </c>
      <c r="BK11" s="75" t="str">
        <f aca="false">IF(AND(BK$5&gt;$F11,BK$5&lt;=$G11),IF($K11="Sí",2,1),IF(AND($D11=0,BK$5=$G11),3,""))</f>
        <v/>
      </c>
      <c r="BL11" s="75" t="str">
        <f aca="false">IF(AND(BL$5&gt;$F11,BL$5&lt;=$G11),IF($K11="Sí",2,1),IF(AND($D11=0,BL$5=$G11),3,""))</f>
        <v/>
      </c>
      <c r="BM11" s="75" t="str">
        <f aca="false">IF(AND(BM$5&gt;$F11,BM$5&lt;=$G11),IF($K11="Sí",2,1),IF(AND($D11=0,BM$5=$G11),3,""))</f>
        <v/>
      </c>
      <c r="BN11" s="75" t="str">
        <f aca="false">IF(AND(BN$5&gt;$F11,BN$5&lt;=$G11),IF($K11="Sí",2,1),IF(AND($D11=0,BN$5=$G11),3,""))</f>
        <v/>
      </c>
      <c r="BO11" s="75" t="str">
        <f aca="false">IF(AND(BO$5&gt;$F11,BO$5&lt;=$G11),IF($K11="Sí",2,1),IF(AND($D11=0,BO$5=$G11),3,""))</f>
        <v/>
      </c>
      <c r="BQ11" s="59" t="n">
        <v>0</v>
      </c>
      <c r="BR11" s="59" t="n">
        <v>131</v>
      </c>
      <c r="BS11" s="59" t="n">
        <v>98</v>
      </c>
      <c r="BT11" s="59" t="n">
        <v>0</v>
      </c>
      <c r="BU11" s="59" t="n">
        <v>131</v>
      </c>
      <c r="BV11" s="59" t="n">
        <v>0</v>
      </c>
      <c r="BW11" s="76" t="n">
        <f aca="false">L11-360</f>
        <v>0</v>
      </c>
      <c r="BX11" s="77" t="n">
        <f aca="false">IF($D11=0,0,BQ11/$D11)</f>
        <v>0</v>
      </c>
      <c r="BY11" s="77" t="n">
        <f aca="false">IF($D11=0,0,BR11/$D11)</f>
        <v>43.6666666666667</v>
      </c>
      <c r="BZ11" s="77" t="n">
        <f aca="false">IF($D11=0,0,BS11/$D11)</f>
        <v>32.6666666666667</v>
      </c>
      <c r="CA11" s="77" t="n">
        <f aca="false">IF($D11=0,0,BT11/$D11)</f>
        <v>0</v>
      </c>
      <c r="CB11" s="77" t="n">
        <f aca="false">IF($D11=0,0,BU11/$D11)</f>
        <v>43.6666666666667</v>
      </c>
      <c r="CC11" s="77" t="n">
        <f aca="false">IF($D11=0,0,BV11/$D11)</f>
        <v>0</v>
      </c>
    </row>
    <row r="12" customFormat="false" ht="15" hidden="false" customHeight="true" outlineLevel="0" collapsed="false">
      <c r="A12" s="5" t="s">
        <v>1392</v>
      </c>
      <c r="B12" s="7" t="s">
        <v>1393</v>
      </c>
      <c r="C12" s="7" t="s">
        <v>1378</v>
      </c>
      <c r="D12" s="30" t="n">
        <v>0</v>
      </c>
      <c r="E12" s="7" t="s">
        <v>1394</v>
      </c>
      <c r="F12" s="32" t="n">
        <f aca="false">MAX(G10,G11)+Q12</f>
        <v>7</v>
      </c>
      <c r="G12" s="32" t="n">
        <f aca="false">F12+D12</f>
        <v>7</v>
      </c>
      <c r="H12" s="32" t="n">
        <f aca="false">I12-D12</f>
        <v>7</v>
      </c>
      <c r="I12" s="32" t="n">
        <f aca="false">MIN(H13,H14,H16,H17)</f>
        <v>7</v>
      </c>
      <c r="J12" s="32" t="n">
        <f aca="false">H12-F12</f>
        <v>0</v>
      </c>
      <c r="K12" s="71" t="str">
        <f aca="false">IF(J12=0,"Sí","")</f>
        <v>Sí</v>
      </c>
      <c r="L12" s="72" t="n">
        <f aca="false">SUM(BQ12:BV12)</f>
        <v>0</v>
      </c>
      <c r="M12" s="33" t="n">
        <f aca="false">SUMIFS(Cotizaciones!$J$5:$J$70,Cotizaciones!$C$5:$C$70,A12)</f>
        <v>0</v>
      </c>
      <c r="N12" s="32" t="n">
        <f aca="false">(L12*Supuestos!$B$47+M12*(1+Supuestos!$B$50))*(1+Supuestos!$B$51)/(1-Supuestos!$B$52)</f>
        <v>0</v>
      </c>
      <c r="O12" s="73" t="n">
        <f aca="false">$C$3+F12*7</f>
        <v>46447</v>
      </c>
      <c r="P12" s="73" t="n">
        <f aca="false">$C$3+G12*7-IF(D12&gt;0,1,0)</f>
        <v>46447</v>
      </c>
      <c r="Q12" s="74" t="n">
        <v>0</v>
      </c>
      <c r="R12" s="75" t="str">
        <f aca="false">IF(AND(R$5&gt;$F12,R$5&lt;=$G12),IF($K12="Sí",2,1),IF(AND($D12=0,R$5=$G12),3,""))</f>
        <v/>
      </c>
      <c r="S12" s="75" t="str">
        <f aca="false">IF(AND(S$5&gt;$F12,S$5&lt;=$G12),IF($K12="Sí",2,1),IF(AND($D12=0,S$5=$G12),3,""))</f>
        <v/>
      </c>
      <c r="T12" s="75" t="str">
        <f aca="false">IF(AND(T$5&gt;$F12,T$5&lt;=$G12),IF($K12="Sí",2,1),IF(AND($D12=0,T$5=$G12),3,""))</f>
        <v/>
      </c>
      <c r="U12" s="75" t="str">
        <f aca="false">IF(AND(U$5&gt;$F12,U$5&lt;=$G12),IF($K12="Sí",2,1),IF(AND($D12=0,U$5=$G12),3,""))</f>
        <v/>
      </c>
      <c r="V12" s="75" t="str">
        <f aca="false">IF(AND(V$5&gt;$F12,V$5&lt;=$G12),IF($K12="Sí",2,1),IF(AND($D12=0,V$5=$G12),3,""))</f>
        <v/>
      </c>
      <c r="W12" s="75" t="str">
        <f aca="false">IF(AND(W$5&gt;$F12,W$5&lt;=$G12),IF($K12="Sí",2,1),IF(AND($D12=0,W$5=$G12),3,""))</f>
        <v/>
      </c>
      <c r="X12" s="75" t="n">
        <f aca="false">IF(AND(X$5&gt;$F12,X$5&lt;=$G12),IF($K12="Sí",2,1),IF(AND($D12=0,X$5=$G12),3,""))</f>
        <v>3</v>
      </c>
      <c r="Y12" s="75" t="str">
        <f aca="false">IF(AND(Y$5&gt;$F12,Y$5&lt;=$G12),IF($K12="Sí",2,1),IF(AND($D12=0,Y$5=$G12),3,""))</f>
        <v/>
      </c>
      <c r="Z12" s="75" t="str">
        <f aca="false">IF(AND(Z$5&gt;$F12,Z$5&lt;=$G12),IF($K12="Sí",2,1),IF(AND($D12=0,Z$5=$G12),3,""))</f>
        <v/>
      </c>
      <c r="AA12" s="75" t="str">
        <f aca="false">IF(AND(AA$5&gt;$F12,AA$5&lt;=$G12),IF($K12="Sí",2,1),IF(AND($D12=0,AA$5=$G12),3,""))</f>
        <v/>
      </c>
      <c r="AB12" s="75" t="str">
        <f aca="false">IF(AND(AB$5&gt;$F12,AB$5&lt;=$G12),IF($K12="Sí",2,1),IF(AND($D12=0,AB$5=$G12),3,""))</f>
        <v/>
      </c>
      <c r="AC12" s="75" t="str">
        <f aca="false">IF(AND(AC$5&gt;$F12,AC$5&lt;=$G12),IF($K12="Sí",2,1),IF(AND($D12=0,AC$5=$G12),3,""))</f>
        <v/>
      </c>
      <c r="AD12" s="75" t="str">
        <f aca="false">IF(AND(AD$5&gt;$F12,AD$5&lt;=$G12),IF($K12="Sí",2,1),IF(AND($D12=0,AD$5=$G12),3,""))</f>
        <v/>
      </c>
      <c r="AE12" s="75" t="str">
        <f aca="false">IF(AND(AE$5&gt;$F12,AE$5&lt;=$G12),IF($K12="Sí",2,1),IF(AND($D12=0,AE$5=$G12),3,""))</f>
        <v/>
      </c>
      <c r="AF12" s="75" t="str">
        <f aca="false">IF(AND(AF$5&gt;$F12,AF$5&lt;=$G12),IF($K12="Sí",2,1),IF(AND($D12=0,AF$5=$G12),3,""))</f>
        <v/>
      </c>
      <c r="AG12" s="75" t="str">
        <f aca="false">IF(AND(AG$5&gt;$F12,AG$5&lt;=$G12),IF($K12="Sí",2,1),IF(AND($D12=0,AG$5=$G12),3,""))</f>
        <v/>
      </c>
      <c r="AH12" s="75" t="str">
        <f aca="false">IF(AND(AH$5&gt;$F12,AH$5&lt;=$G12),IF($K12="Sí",2,1),IF(AND($D12=0,AH$5=$G12),3,""))</f>
        <v/>
      </c>
      <c r="AI12" s="75" t="str">
        <f aca="false">IF(AND(AI$5&gt;$F12,AI$5&lt;=$G12),IF($K12="Sí",2,1),IF(AND($D12=0,AI$5=$G12),3,""))</f>
        <v/>
      </c>
      <c r="AJ12" s="75" t="str">
        <f aca="false">IF(AND(AJ$5&gt;$F12,AJ$5&lt;=$G12),IF($K12="Sí",2,1),IF(AND($D12=0,AJ$5=$G12),3,""))</f>
        <v/>
      </c>
      <c r="AK12" s="75" t="str">
        <f aca="false">IF(AND(AK$5&gt;$F12,AK$5&lt;=$G12),IF($K12="Sí",2,1),IF(AND($D12=0,AK$5=$G12),3,""))</f>
        <v/>
      </c>
      <c r="AL12" s="75" t="str">
        <f aca="false">IF(AND(AL$5&gt;$F12,AL$5&lt;=$G12),IF($K12="Sí",2,1),IF(AND($D12=0,AL$5=$G12),3,""))</f>
        <v/>
      </c>
      <c r="AM12" s="75" t="str">
        <f aca="false">IF(AND(AM$5&gt;$F12,AM$5&lt;=$G12),IF($K12="Sí",2,1),IF(AND($D12=0,AM$5=$G12),3,""))</f>
        <v/>
      </c>
      <c r="AN12" s="75" t="str">
        <f aca="false">IF(AND(AN$5&gt;$F12,AN$5&lt;=$G12),IF($K12="Sí",2,1),IF(AND($D12=0,AN$5=$G12),3,""))</f>
        <v/>
      </c>
      <c r="AO12" s="75" t="str">
        <f aca="false">IF(AND(AO$5&gt;$F12,AO$5&lt;=$G12),IF($K12="Sí",2,1),IF(AND($D12=0,AO$5=$G12),3,""))</f>
        <v/>
      </c>
      <c r="AP12" s="75" t="str">
        <f aca="false">IF(AND(AP$5&gt;$F12,AP$5&lt;=$G12),IF($K12="Sí",2,1),IF(AND($D12=0,AP$5=$G12),3,""))</f>
        <v/>
      </c>
      <c r="AQ12" s="75" t="str">
        <f aca="false">IF(AND(AQ$5&gt;$F12,AQ$5&lt;=$G12),IF($K12="Sí",2,1),IF(AND($D12=0,AQ$5=$G12),3,""))</f>
        <v/>
      </c>
      <c r="AR12" s="75" t="str">
        <f aca="false">IF(AND(AR$5&gt;$F12,AR$5&lt;=$G12),IF($K12="Sí",2,1),IF(AND($D12=0,AR$5=$G12),3,""))</f>
        <v/>
      </c>
      <c r="AS12" s="75" t="str">
        <f aca="false">IF(AND(AS$5&gt;$F12,AS$5&lt;=$G12),IF($K12="Sí",2,1),IF(AND($D12=0,AS$5=$G12),3,""))</f>
        <v/>
      </c>
      <c r="AT12" s="75" t="str">
        <f aca="false">IF(AND(AT$5&gt;$F12,AT$5&lt;=$G12),IF($K12="Sí",2,1),IF(AND($D12=0,AT$5=$G12),3,""))</f>
        <v/>
      </c>
      <c r="AU12" s="75" t="str">
        <f aca="false">IF(AND(AU$5&gt;$F12,AU$5&lt;=$G12),IF($K12="Sí",2,1),IF(AND($D12=0,AU$5=$G12),3,""))</f>
        <v/>
      </c>
      <c r="AV12" s="75" t="str">
        <f aca="false">IF(AND(AV$5&gt;$F12,AV$5&lt;=$G12),IF($K12="Sí",2,1),IF(AND($D12=0,AV$5=$G12),3,""))</f>
        <v/>
      </c>
      <c r="AW12" s="75" t="str">
        <f aca="false">IF(AND(AW$5&gt;$F12,AW$5&lt;=$G12),IF($K12="Sí",2,1),IF(AND($D12=0,AW$5=$G12),3,""))</f>
        <v/>
      </c>
      <c r="AX12" s="75" t="str">
        <f aca="false">IF(AND(AX$5&gt;$F12,AX$5&lt;=$G12),IF($K12="Sí",2,1),IF(AND($D12=0,AX$5=$G12),3,""))</f>
        <v/>
      </c>
      <c r="AY12" s="75" t="str">
        <f aca="false">IF(AND(AY$5&gt;$F12,AY$5&lt;=$G12),IF($K12="Sí",2,1),IF(AND($D12=0,AY$5=$G12),3,""))</f>
        <v/>
      </c>
      <c r="AZ12" s="75" t="str">
        <f aca="false">IF(AND(AZ$5&gt;$F12,AZ$5&lt;=$G12),IF($K12="Sí",2,1),IF(AND($D12=0,AZ$5=$G12),3,""))</f>
        <v/>
      </c>
      <c r="BA12" s="75" t="str">
        <f aca="false">IF(AND(BA$5&gt;$F12,BA$5&lt;=$G12),IF($K12="Sí",2,1),IF(AND($D12=0,BA$5=$G12),3,""))</f>
        <v/>
      </c>
      <c r="BB12" s="75" t="str">
        <f aca="false">IF(AND(BB$5&gt;$F12,BB$5&lt;=$G12),IF($K12="Sí",2,1),IF(AND($D12=0,BB$5=$G12),3,""))</f>
        <v/>
      </c>
      <c r="BC12" s="75" t="str">
        <f aca="false">IF(AND(BC$5&gt;$F12,BC$5&lt;=$G12),IF($K12="Sí",2,1),IF(AND($D12=0,BC$5=$G12),3,""))</f>
        <v/>
      </c>
      <c r="BD12" s="75" t="str">
        <f aca="false">IF(AND(BD$5&gt;$F12,BD$5&lt;=$G12),IF($K12="Sí",2,1),IF(AND($D12=0,BD$5=$G12),3,""))</f>
        <v/>
      </c>
      <c r="BE12" s="75" t="str">
        <f aca="false">IF(AND(BE$5&gt;$F12,BE$5&lt;=$G12),IF($K12="Sí",2,1),IF(AND($D12=0,BE$5=$G12),3,""))</f>
        <v/>
      </c>
      <c r="BF12" s="75" t="str">
        <f aca="false">IF(AND(BF$5&gt;$F12,BF$5&lt;=$G12),IF($K12="Sí",2,1),IF(AND($D12=0,BF$5=$G12),3,""))</f>
        <v/>
      </c>
      <c r="BG12" s="75" t="str">
        <f aca="false">IF(AND(BG$5&gt;$F12,BG$5&lt;=$G12),IF($K12="Sí",2,1),IF(AND($D12=0,BG$5=$G12),3,""))</f>
        <v/>
      </c>
      <c r="BH12" s="75" t="str">
        <f aca="false">IF(AND(BH$5&gt;$F12,BH$5&lt;=$G12),IF($K12="Sí",2,1),IF(AND($D12=0,BH$5=$G12),3,""))</f>
        <v/>
      </c>
      <c r="BI12" s="75" t="str">
        <f aca="false">IF(AND(BI$5&gt;$F12,BI$5&lt;=$G12),IF($K12="Sí",2,1),IF(AND($D12=0,BI$5=$G12),3,""))</f>
        <v/>
      </c>
      <c r="BJ12" s="75" t="str">
        <f aca="false">IF(AND(BJ$5&gt;$F12,BJ$5&lt;=$G12),IF($K12="Sí",2,1),IF(AND($D12=0,BJ$5=$G12),3,""))</f>
        <v/>
      </c>
      <c r="BK12" s="75" t="str">
        <f aca="false">IF(AND(BK$5&gt;$F12,BK$5&lt;=$G12),IF($K12="Sí",2,1),IF(AND($D12=0,BK$5=$G12),3,""))</f>
        <v/>
      </c>
      <c r="BL12" s="75" t="str">
        <f aca="false">IF(AND(BL$5&gt;$F12,BL$5&lt;=$G12),IF($K12="Sí",2,1),IF(AND($D12=0,BL$5=$G12),3,""))</f>
        <v/>
      </c>
      <c r="BM12" s="75" t="str">
        <f aca="false">IF(AND(BM$5&gt;$F12,BM$5&lt;=$G12),IF($K12="Sí",2,1),IF(AND($D12=0,BM$5=$G12),3,""))</f>
        <v/>
      </c>
      <c r="BN12" s="75" t="str">
        <f aca="false">IF(AND(BN$5&gt;$F12,BN$5&lt;=$G12),IF($K12="Sí",2,1),IF(AND($D12=0,BN$5=$G12),3,""))</f>
        <v/>
      </c>
      <c r="BO12" s="75" t="str">
        <f aca="false">IF(AND(BO$5&gt;$F12,BO$5&lt;=$G12),IF($K12="Sí",2,1),IF(AND($D12=0,BO$5=$G12),3,""))</f>
        <v/>
      </c>
      <c r="BQ12" s="59" t="n">
        <v>0</v>
      </c>
      <c r="BR12" s="59" t="n">
        <v>0</v>
      </c>
      <c r="BS12" s="59" t="n">
        <v>0</v>
      </c>
      <c r="BT12" s="59" t="n">
        <v>0</v>
      </c>
      <c r="BU12" s="59" t="n">
        <v>0</v>
      </c>
      <c r="BV12" s="59" t="n">
        <v>0</v>
      </c>
      <c r="BW12" s="76" t="n">
        <f aca="false">L12-0</f>
        <v>0</v>
      </c>
      <c r="BX12" s="77" t="n">
        <f aca="false">IF($D12=0,0,BQ12/$D12)</f>
        <v>0</v>
      </c>
      <c r="BY12" s="77" t="n">
        <f aca="false">IF($D12=0,0,BR12/$D12)</f>
        <v>0</v>
      </c>
      <c r="BZ12" s="77" t="n">
        <f aca="false">IF($D12=0,0,BS12/$D12)</f>
        <v>0</v>
      </c>
      <c r="CA12" s="77" t="n">
        <f aca="false">IF($D12=0,0,BT12/$D12)</f>
        <v>0</v>
      </c>
      <c r="CB12" s="77" t="n">
        <f aca="false">IF($D12=0,0,BU12/$D12)</f>
        <v>0</v>
      </c>
      <c r="CC12" s="77" t="n">
        <f aca="false">IF($D12=0,0,BV12/$D12)</f>
        <v>0</v>
      </c>
    </row>
    <row r="13" customFormat="false" ht="15" hidden="false" customHeight="true" outlineLevel="0" collapsed="false">
      <c r="A13" s="7" t="s">
        <v>1395</v>
      </c>
      <c r="B13" s="7" t="s">
        <v>1396</v>
      </c>
      <c r="C13" s="7" t="s">
        <v>1397</v>
      </c>
      <c r="D13" s="30" t="n">
        <v>5</v>
      </c>
      <c r="E13" s="7" t="s">
        <v>1392</v>
      </c>
      <c r="F13" s="32" t="n">
        <f aca="false">MAX(G12)+Q13</f>
        <v>7</v>
      </c>
      <c r="G13" s="32" t="n">
        <f aca="false">F13+D13</f>
        <v>12</v>
      </c>
      <c r="H13" s="32" t="n">
        <f aca="false">I13-D13</f>
        <v>8</v>
      </c>
      <c r="I13" s="32" t="n">
        <f aca="false">MIN(H15,H22)</f>
        <v>13</v>
      </c>
      <c r="J13" s="32" t="n">
        <f aca="false">H13-F13</f>
        <v>1</v>
      </c>
      <c r="K13" s="71" t="str">
        <f aca="false">IF(J13=0,"Sí","")</f>
        <v/>
      </c>
      <c r="L13" s="72" t="n">
        <f aca="false">SUM(BQ13:BV13)</f>
        <v>400</v>
      </c>
      <c r="M13" s="33" t="n">
        <f aca="false">SUMIFS(Cotizaciones!$J$5:$J$70,Cotizaciones!$C$5:$C$70,A13)</f>
        <v>0</v>
      </c>
      <c r="N13" s="32" t="n">
        <f aca="false">(L13*Supuestos!$B$47+M13*(1+Supuestos!$B$50))*(1+Supuestos!$B$51)/(1-Supuestos!$B$52)</f>
        <v>64979757.0850203</v>
      </c>
      <c r="O13" s="73" t="n">
        <f aca="false">$C$3+F13*7</f>
        <v>46447</v>
      </c>
      <c r="P13" s="73" t="n">
        <f aca="false">$C$3+G13*7-IF(D13&gt;0,1,0)</f>
        <v>46481</v>
      </c>
      <c r="Q13" s="74" t="n">
        <v>0</v>
      </c>
      <c r="R13" s="75" t="str">
        <f aca="false">IF(AND(R$5&gt;$F13,R$5&lt;=$G13),IF($K13="Sí",2,1),IF(AND($D13=0,R$5=$G13),3,""))</f>
        <v/>
      </c>
      <c r="S13" s="75" t="str">
        <f aca="false">IF(AND(S$5&gt;$F13,S$5&lt;=$G13),IF($K13="Sí",2,1),IF(AND($D13=0,S$5=$G13),3,""))</f>
        <v/>
      </c>
      <c r="T13" s="75" t="str">
        <f aca="false">IF(AND(T$5&gt;$F13,T$5&lt;=$G13),IF($K13="Sí",2,1),IF(AND($D13=0,T$5=$G13),3,""))</f>
        <v/>
      </c>
      <c r="U13" s="75" t="str">
        <f aca="false">IF(AND(U$5&gt;$F13,U$5&lt;=$G13),IF($K13="Sí",2,1),IF(AND($D13=0,U$5=$G13),3,""))</f>
        <v/>
      </c>
      <c r="V13" s="75" t="str">
        <f aca="false">IF(AND(V$5&gt;$F13,V$5&lt;=$G13),IF($K13="Sí",2,1),IF(AND($D13=0,V$5=$G13),3,""))</f>
        <v/>
      </c>
      <c r="W13" s="75" t="str">
        <f aca="false">IF(AND(W$5&gt;$F13,W$5&lt;=$G13),IF($K13="Sí",2,1),IF(AND($D13=0,W$5=$G13),3,""))</f>
        <v/>
      </c>
      <c r="X13" s="75" t="str">
        <f aca="false">IF(AND(X$5&gt;$F13,X$5&lt;=$G13),IF($K13="Sí",2,1),IF(AND($D13=0,X$5=$G13),3,""))</f>
        <v/>
      </c>
      <c r="Y13" s="75" t="n">
        <f aca="false">IF(AND(Y$5&gt;$F13,Y$5&lt;=$G13),IF($K13="Sí",2,1),IF(AND($D13=0,Y$5=$G13),3,""))</f>
        <v>1</v>
      </c>
      <c r="Z13" s="75" t="n">
        <f aca="false">IF(AND(Z$5&gt;$F13,Z$5&lt;=$G13),IF($K13="Sí",2,1),IF(AND($D13=0,Z$5=$G13),3,""))</f>
        <v>1</v>
      </c>
      <c r="AA13" s="75" t="n">
        <f aca="false">IF(AND(AA$5&gt;$F13,AA$5&lt;=$G13),IF($K13="Sí",2,1),IF(AND($D13=0,AA$5=$G13),3,""))</f>
        <v>1</v>
      </c>
      <c r="AB13" s="75" t="n">
        <f aca="false">IF(AND(AB$5&gt;$F13,AB$5&lt;=$G13),IF($K13="Sí",2,1),IF(AND($D13=0,AB$5=$G13),3,""))</f>
        <v>1</v>
      </c>
      <c r="AC13" s="75" t="n">
        <f aca="false">IF(AND(AC$5&gt;$F13,AC$5&lt;=$G13),IF($K13="Sí",2,1),IF(AND($D13=0,AC$5=$G13),3,""))</f>
        <v>1</v>
      </c>
      <c r="AD13" s="75" t="str">
        <f aca="false">IF(AND(AD$5&gt;$F13,AD$5&lt;=$G13),IF($K13="Sí",2,1),IF(AND($D13=0,AD$5=$G13),3,""))</f>
        <v/>
      </c>
      <c r="AE13" s="75" t="str">
        <f aca="false">IF(AND(AE$5&gt;$F13,AE$5&lt;=$G13),IF($K13="Sí",2,1),IF(AND($D13=0,AE$5=$G13),3,""))</f>
        <v/>
      </c>
      <c r="AF13" s="75" t="str">
        <f aca="false">IF(AND(AF$5&gt;$F13,AF$5&lt;=$G13),IF($K13="Sí",2,1),IF(AND($D13=0,AF$5=$G13),3,""))</f>
        <v/>
      </c>
      <c r="AG13" s="75" t="str">
        <f aca="false">IF(AND(AG$5&gt;$F13,AG$5&lt;=$G13),IF($K13="Sí",2,1),IF(AND($D13=0,AG$5=$G13),3,""))</f>
        <v/>
      </c>
      <c r="AH13" s="75" t="str">
        <f aca="false">IF(AND(AH$5&gt;$F13,AH$5&lt;=$G13),IF($K13="Sí",2,1),IF(AND($D13=0,AH$5=$G13),3,""))</f>
        <v/>
      </c>
      <c r="AI13" s="75" t="str">
        <f aca="false">IF(AND(AI$5&gt;$F13,AI$5&lt;=$G13),IF($K13="Sí",2,1),IF(AND($D13=0,AI$5=$G13),3,""))</f>
        <v/>
      </c>
      <c r="AJ13" s="75" t="str">
        <f aca="false">IF(AND(AJ$5&gt;$F13,AJ$5&lt;=$G13),IF($K13="Sí",2,1),IF(AND($D13=0,AJ$5=$G13),3,""))</f>
        <v/>
      </c>
      <c r="AK13" s="75" t="str">
        <f aca="false">IF(AND(AK$5&gt;$F13,AK$5&lt;=$G13),IF($K13="Sí",2,1),IF(AND($D13=0,AK$5=$G13),3,""))</f>
        <v/>
      </c>
      <c r="AL13" s="75" t="str">
        <f aca="false">IF(AND(AL$5&gt;$F13,AL$5&lt;=$G13),IF($K13="Sí",2,1),IF(AND($D13=0,AL$5=$G13),3,""))</f>
        <v/>
      </c>
      <c r="AM13" s="75" t="str">
        <f aca="false">IF(AND(AM$5&gt;$F13,AM$5&lt;=$G13),IF($K13="Sí",2,1),IF(AND($D13=0,AM$5=$G13),3,""))</f>
        <v/>
      </c>
      <c r="AN13" s="75" t="str">
        <f aca="false">IF(AND(AN$5&gt;$F13,AN$5&lt;=$G13),IF($K13="Sí",2,1),IF(AND($D13=0,AN$5=$G13),3,""))</f>
        <v/>
      </c>
      <c r="AO13" s="75" t="str">
        <f aca="false">IF(AND(AO$5&gt;$F13,AO$5&lt;=$G13),IF($K13="Sí",2,1),IF(AND($D13=0,AO$5=$G13),3,""))</f>
        <v/>
      </c>
      <c r="AP13" s="75" t="str">
        <f aca="false">IF(AND(AP$5&gt;$F13,AP$5&lt;=$G13),IF($K13="Sí",2,1),IF(AND($D13=0,AP$5=$G13),3,""))</f>
        <v/>
      </c>
      <c r="AQ13" s="75" t="str">
        <f aca="false">IF(AND(AQ$5&gt;$F13,AQ$5&lt;=$G13),IF($K13="Sí",2,1),IF(AND($D13=0,AQ$5=$G13),3,""))</f>
        <v/>
      </c>
      <c r="AR13" s="75" t="str">
        <f aca="false">IF(AND(AR$5&gt;$F13,AR$5&lt;=$G13),IF($K13="Sí",2,1),IF(AND($D13=0,AR$5=$G13),3,""))</f>
        <v/>
      </c>
      <c r="AS13" s="75" t="str">
        <f aca="false">IF(AND(AS$5&gt;$F13,AS$5&lt;=$G13),IF($K13="Sí",2,1),IF(AND($D13=0,AS$5=$G13),3,""))</f>
        <v/>
      </c>
      <c r="AT13" s="75" t="str">
        <f aca="false">IF(AND(AT$5&gt;$F13,AT$5&lt;=$G13),IF($K13="Sí",2,1),IF(AND($D13=0,AT$5=$G13),3,""))</f>
        <v/>
      </c>
      <c r="AU13" s="75" t="str">
        <f aca="false">IF(AND(AU$5&gt;$F13,AU$5&lt;=$G13),IF($K13="Sí",2,1),IF(AND($D13=0,AU$5=$G13),3,""))</f>
        <v/>
      </c>
      <c r="AV13" s="75" t="str">
        <f aca="false">IF(AND(AV$5&gt;$F13,AV$5&lt;=$G13),IF($K13="Sí",2,1),IF(AND($D13=0,AV$5=$G13),3,""))</f>
        <v/>
      </c>
      <c r="AW13" s="75" t="str">
        <f aca="false">IF(AND(AW$5&gt;$F13,AW$5&lt;=$G13),IF($K13="Sí",2,1),IF(AND($D13=0,AW$5=$G13),3,""))</f>
        <v/>
      </c>
      <c r="AX13" s="75" t="str">
        <f aca="false">IF(AND(AX$5&gt;$F13,AX$5&lt;=$G13),IF($K13="Sí",2,1),IF(AND($D13=0,AX$5=$G13),3,""))</f>
        <v/>
      </c>
      <c r="AY13" s="75" t="str">
        <f aca="false">IF(AND(AY$5&gt;$F13,AY$5&lt;=$G13),IF($K13="Sí",2,1),IF(AND($D13=0,AY$5=$G13),3,""))</f>
        <v/>
      </c>
      <c r="AZ13" s="75" t="str">
        <f aca="false">IF(AND(AZ$5&gt;$F13,AZ$5&lt;=$G13),IF($K13="Sí",2,1),IF(AND($D13=0,AZ$5=$G13),3,""))</f>
        <v/>
      </c>
      <c r="BA13" s="75" t="str">
        <f aca="false">IF(AND(BA$5&gt;$F13,BA$5&lt;=$G13),IF($K13="Sí",2,1),IF(AND($D13=0,BA$5=$G13),3,""))</f>
        <v/>
      </c>
      <c r="BB13" s="75" t="str">
        <f aca="false">IF(AND(BB$5&gt;$F13,BB$5&lt;=$G13),IF($K13="Sí",2,1),IF(AND($D13=0,BB$5=$G13),3,""))</f>
        <v/>
      </c>
      <c r="BC13" s="75" t="str">
        <f aca="false">IF(AND(BC$5&gt;$F13,BC$5&lt;=$G13),IF($K13="Sí",2,1),IF(AND($D13=0,BC$5=$G13),3,""))</f>
        <v/>
      </c>
      <c r="BD13" s="75" t="str">
        <f aca="false">IF(AND(BD$5&gt;$F13,BD$5&lt;=$G13),IF($K13="Sí",2,1),IF(AND($D13=0,BD$5=$G13),3,""))</f>
        <v/>
      </c>
      <c r="BE13" s="75" t="str">
        <f aca="false">IF(AND(BE$5&gt;$F13,BE$5&lt;=$G13),IF($K13="Sí",2,1),IF(AND($D13=0,BE$5=$G13),3,""))</f>
        <v/>
      </c>
      <c r="BF13" s="75" t="str">
        <f aca="false">IF(AND(BF$5&gt;$F13,BF$5&lt;=$G13),IF($K13="Sí",2,1),IF(AND($D13=0,BF$5=$G13),3,""))</f>
        <v/>
      </c>
      <c r="BG13" s="75" t="str">
        <f aca="false">IF(AND(BG$5&gt;$F13,BG$5&lt;=$G13),IF($K13="Sí",2,1),IF(AND($D13=0,BG$5=$G13),3,""))</f>
        <v/>
      </c>
      <c r="BH13" s="75" t="str">
        <f aca="false">IF(AND(BH$5&gt;$F13,BH$5&lt;=$G13),IF($K13="Sí",2,1),IF(AND($D13=0,BH$5=$G13),3,""))</f>
        <v/>
      </c>
      <c r="BI13" s="75" t="str">
        <f aca="false">IF(AND(BI$5&gt;$F13,BI$5&lt;=$G13),IF($K13="Sí",2,1),IF(AND($D13=0,BI$5=$G13),3,""))</f>
        <v/>
      </c>
      <c r="BJ13" s="75" t="str">
        <f aca="false">IF(AND(BJ$5&gt;$F13,BJ$5&lt;=$G13),IF($K13="Sí",2,1),IF(AND($D13=0,BJ$5=$G13),3,""))</f>
        <v/>
      </c>
      <c r="BK13" s="75" t="str">
        <f aca="false">IF(AND(BK$5&gt;$F13,BK$5&lt;=$G13),IF($K13="Sí",2,1),IF(AND($D13=0,BK$5=$G13),3,""))</f>
        <v/>
      </c>
      <c r="BL13" s="75" t="str">
        <f aca="false">IF(AND(BL$5&gt;$F13,BL$5&lt;=$G13),IF($K13="Sí",2,1),IF(AND($D13=0,BL$5=$G13),3,""))</f>
        <v/>
      </c>
      <c r="BM13" s="75" t="str">
        <f aca="false">IF(AND(BM$5&gt;$F13,BM$5&lt;=$G13),IF($K13="Sí",2,1),IF(AND($D13=0,BM$5=$G13),3,""))</f>
        <v/>
      </c>
      <c r="BN13" s="75" t="str">
        <f aca="false">IF(AND(BN$5&gt;$F13,BN$5&lt;=$G13),IF($K13="Sí",2,1),IF(AND($D13=0,BN$5=$G13),3,""))</f>
        <v/>
      </c>
      <c r="BO13" s="75" t="str">
        <f aca="false">IF(AND(BO$5&gt;$F13,BO$5&lt;=$G13),IF($K13="Sí",2,1),IF(AND($D13=0,BO$5=$G13),3,""))</f>
        <v/>
      </c>
      <c r="BQ13" s="59" t="n">
        <v>56</v>
      </c>
      <c r="BR13" s="59" t="n">
        <v>0</v>
      </c>
      <c r="BS13" s="59" t="n">
        <v>218</v>
      </c>
      <c r="BT13" s="59" t="n">
        <v>59</v>
      </c>
      <c r="BU13" s="59" t="n">
        <v>67</v>
      </c>
      <c r="BV13" s="59" t="n">
        <v>0</v>
      </c>
      <c r="BW13" s="76" t="n">
        <f aca="false">L13-400</f>
        <v>0</v>
      </c>
      <c r="BX13" s="77" t="n">
        <f aca="false">IF($D13=0,0,BQ13/$D13)</f>
        <v>11.2</v>
      </c>
      <c r="BY13" s="77" t="n">
        <f aca="false">IF($D13=0,0,BR13/$D13)</f>
        <v>0</v>
      </c>
      <c r="BZ13" s="77" t="n">
        <f aca="false">IF($D13=0,0,BS13/$D13)</f>
        <v>43.6</v>
      </c>
      <c r="CA13" s="77" t="n">
        <f aca="false">IF($D13=0,0,BT13/$D13)</f>
        <v>11.8</v>
      </c>
      <c r="CB13" s="77" t="n">
        <f aca="false">IF($D13=0,0,BU13/$D13)</f>
        <v>13.4</v>
      </c>
      <c r="CC13" s="77" t="n">
        <f aca="false">IF($D13=0,0,BV13/$D13)</f>
        <v>0</v>
      </c>
    </row>
    <row r="14" customFormat="false" ht="15" hidden="false" customHeight="true" outlineLevel="0" collapsed="false">
      <c r="A14" s="7" t="s">
        <v>1398</v>
      </c>
      <c r="B14" s="7" t="s">
        <v>1399</v>
      </c>
      <c r="C14" s="7" t="s">
        <v>1391</v>
      </c>
      <c r="D14" s="30" t="n">
        <v>7</v>
      </c>
      <c r="E14" s="7" t="s">
        <v>1392</v>
      </c>
      <c r="F14" s="32" t="n">
        <f aca="false">MAX(G12)+Q14</f>
        <v>7</v>
      </c>
      <c r="G14" s="32" t="n">
        <f aca="false">F14+D14</f>
        <v>14</v>
      </c>
      <c r="H14" s="32" t="n">
        <f aca="false">I14-D14</f>
        <v>8</v>
      </c>
      <c r="I14" s="32" t="n">
        <f aca="false">MIN(H18,H19,H20,H27,H28)</f>
        <v>15</v>
      </c>
      <c r="J14" s="32" t="n">
        <f aca="false">H14-F14</f>
        <v>1</v>
      </c>
      <c r="K14" s="71" t="str">
        <f aca="false">IF(J14=0,"Sí","")</f>
        <v/>
      </c>
      <c r="L14" s="72" t="n">
        <f aca="false">SUM(BQ14:BV14)</f>
        <v>480</v>
      </c>
      <c r="M14" s="33" t="n">
        <f aca="false">SUMIFS(Cotizaciones!$J$5:$J$70,Cotizaciones!$C$5:$C$70,A14)</f>
        <v>0</v>
      </c>
      <c r="N14" s="32" t="n">
        <f aca="false">(L14*Supuestos!$B$47+M14*(1+Supuestos!$B$50))*(1+Supuestos!$B$51)/(1-Supuestos!$B$52)</f>
        <v>77975708.5020243</v>
      </c>
      <c r="O14" s="73" t="n">
        <f aca="false">$C$3+F14*7</f>
        <v>46447</v>
      </c>
      <c r="P14" s="73" t="n">
        <f aca="false">$C$3+G14*7-IF(D14&gt;0,1,0)</f>
        <v>46495</v>
      </c>
      <c r="Q14" s="74" t="n">
        <v>0</v>
      </c>
      <c r="R14" s="75" t="str">
        <f aca="false">IF(AND(R$5&gt;$F14,R$5&lt;=$G14),IF($K14="Sí",2,1),IF(AND($D14=0,R$5=$G14),3,""))</f>
        <v/>
      </c>
      <c r="S14" s="75" t="str">
        <f aca="false">IF(AND(S$5&gt;$F14,S$5&lt;=$G14),IF($K14="Sí",2,1),IF(AND($D14=0,S$5=$G14),3,""))</f>
        <v/>
      </c>
      <c r="T14" s="75" t="str">
        <f aca="false">IF(AND(T$5&gt;$F14,T$5&lt;=$G14),IF($K14="Sí",2,1),IF(AND($D14=0,T$5=$G14),3,""))</f>
        <v/>
      </c>
      <c r="U14" s="75" t="str">
        <f aca="false">IF(AND(U$5&gt;$F14,U$5&lt;=$G14),IF($K14="Sí",2,1),IF(AND($D14=0,U$5=$G14),3,""))</f>
        <v/>
      </c>
      <c r="V14" s="75" t="str">
        <f aca="false">IF(AND(V$5&gt;$F14,V$5&lt;=$G14),IF($K14="Sí",2,1),IF(AND($D14=0,V$5=$G14),3,""))</f>
        <v/>
      </c>
      <c r="W14" s="75" t="str">
        <f aca="false">IF(AND(W$5&gt;$F14,W$5&lt;=$G14),IF($K14="Sí",2,1),IF(AND($D14=0,W$5=$G14),3,""))</f>
        <v/>
      </c>
      <c r="X14" s="75" t="str">
        <f aca="false">IF(AND(X$5&gt;$F14,X$5&lt;=$G14),IF($K14="Sí",2,1),IF(AND($D14=0,X$5=$G14),3,""))</f>
        <v/>
      </c>
      <c r="Y14" s="75" t="n">
        <f aca="false">IF(AND(Y$5&gt;$F14,Y$5&lt;=$G14),IF($K14="Sí",2,1),IF(AND($D14=0,Y$5=$G14),3,""))</f>
        <v>1</v>
      </c>
      <c r="Z14" s="75" t="n">
        <f aca="false">IF(AND(Z$5&gt;$F14,Z$5&lt;=$G14),IF($K14="Sí",2,1),IF(AND($D14=0,Z$5=$G14),3,""))</f>
        <v>1</v>
      </c>
      <c r="AA14" s="75" t="n">
        <f aca="false">IF(AND(AA$5&gt;$F14,AA$5&lt;=$G14),IF($K14="Sí",2,1),IF(AND($D14=0,AA$5=$G14),3,""))</f>
        <v>1</v>
      </c>
      <c r="AB14" s="75" t="n">
        <f aca="false">IF(AND(AB$5&gt;$F14,AB$5&lt;=$G14),IF($K14="Sí",2,1),IF(AND($D14=0,AB$5=$G14),3,""))</f>
        <v>1</v>
      </c>
      <c r="AC14" s="75" t="n">
        <f aca="false">IF(AND(AC$5&gt;$F14,AC$5&lt;=$G14),IF($K14="Sí",2,1),IF(AND($D14=0,AC$5=$G14),3,""))</f>
        <v>1</v>
      </c>
      <c r="AD14" s="75" t="n">
        <f aca="false">IF(AND(AD$5&gt;$F14,AD$5&lt;=$G14),IF($K14="Sí",2,1),IF(AND($D14=0,AD$5=$G14),3,""))</f>
        <v>1</v>
      </c>
      <c r="AE14" s="75" t="n">
        <f aca="false">IF(AND(AE$5&gt;$F14,AE$5&lt;=$G14),IF($K14="Sí",2,1),IF(AND($D14=0,AE$5=$G14),3,""))</f>
        <v>1</v>
      </c>
      <c r="AF14" s="75" t="str">
        <f aca="false">IF(AND(AF$5&gt;$F14,AF$5&lt;=$G14),IF($K14="Sí",2,1),IF(AND($D14=0,AF$5=$G14),3,""))</f>
        <v/>
      </c>
      <c r="AG14" s="75" t="str">
        <f aca="false">IF(AND(AG$5&gt;$F14,AG$5&lt;=$G14),IF($K14="Sí",2,1),IF(AND($D14=0,AG$5=$G14),3,""))</f>
        <v/>
      </c>
      <c r="AH14" s="75" t="str">
        <f aca="false">IF(AND(AH$5&gt;$F14,AH$5&lt;=$G14),IF($K14="Sí",2,1),IF(AND($D14=0,AH$5=$G14),3,""))</f>
        <v/>
      </c>
      <c r="AI14" s="75" t="str">
        <f aca="false">IF(AND(AI$5&gt;$F14,AI$5&lt;=$G14),IF($K14="Sí",2,1),IF(AND($D14=0,AI$5=$G14),3,""))</f>
        <v/>
      </c>
      <c r="AJ14" s="75" t="str">
        <f aca="false">IF(AND(AJ$5&gt;$F14,AJ$5&lt;=$G14),IF($K14="Sí",2,1),IF(AND($D14=0,AJ$5=$G14),3,""))</f>
        <v/>
      </c>
      <c r="AK14" s="75" t="str">
        <f aca="false">IF(AND(AK$5&gt;$F14,AK$5&lt;=$G14),IF($K14="Sí",2,1),IF(AND($D14=0,AK$5=$G14),3,""))</f>
        <v/>
      </c>
      <c r="AL14" s="75" t="str">
        <f aca="false">IF(AND(AL$5&gt;$F14,AL$5&lt;=$G14),IF($K14="Sí",2,1),IF(AND($D14=0,AL$5=$G14),3,""))</f>
        <v/>
      </c>
      <c r="AM14" s="75" t="str">
        <f aca="false">IF(AND(AM$5&gt;$F14,AM$5&lt;=$G14),IF($K14="Sí",2,1),IF(AND($D14=0,AM$5=$G14),3,""))</f>
        <v/>
      </c>
      <c r="AN14" s="75" t="str">
        <f aca="false">IF(AND(AN$5&gt;$F14,AN$5&lt;=$G14),IF($K14="Sí",2,1),IF(AND($D14=0,AN$5=$G14),3,""))</f>
        <v/>
      </c>
      <c r="AO14" s="75" t="str">
        <f aca="false">IF(AND(AO$5&gt;$F14,AO$5&lt;=$G14),IF($K14="Sí",2,1),IF(AND($D14=0,AO$5=$G14),3,""))</f>
        <v/>
      </c>
      <c r="AP14" s="75" t="str">
        <f aca="false">IF(AND(AP$5&gt;$F14,AP$5&lt;=$G14),IF($K14="Sí",2,1),IF(AND($D14=0,AP$5=$G14),3,""))</f>
        <v/>
      </c>
      <c r="AQ14" s="75" t="str">
        <f aca="false">IF(AND(AQ$5&gt;$F14,AQ$5&lt;=$G14),IF($K14="Sí",2,1),IF(AND($D14=0,AQ$5=$G14),3,""))</f>
        <v/>
      </c>
      <c r="AR14" s="75" t="str">
        <f aca="false">IF(AND(AR$5&gt;$F14,AR$5&lt;=$G14),IF($K14="Sí",2,1),IF(AND($D14=0,AR$5=$G14),3,""))</f>
        <v/>
      </c>
      <c r="AS14" s="75" t="str">
        <f aca="false">IF(AND(AS$5&gt;$F14,AS$5&lt;=$G14),IF($K14="Sí",2,1),IF(AND($D14=0,AS$5=$G14),3,""))</f>
        <v/>
      </c>
      <c r="AT14" s="75" t="str">
        <f aca="false">IF(AND(AT$5&gt;$F14,AT$5&lt;=$G14),IF($K14="Sí",2,1),IF(AND($D14=0,AT$5=$G14),3,""))</f>
        <v/>
      </c>
      <c r="AU14" s="75" t="str">
        <f aca="false">IF(AND(AU$5&gt;$F14,AU$5&lt;=$G14),IF($K14="Sí",2,1),IF(AND($D14=0,AU$5=$G14),3,""))</f>
        <v/>
      </c>
      <c r="AV14" s="75" t="str">
        <f aca="false">IF(AND(AV$5&gt;$F14,AV$5&lt;=$G14),IF($K14="Sí",2,1),IF(AND($D14=0,AV$5=$G14),3,""))</f>
        <v/>
      </c>
      <c r="AW14" s="75" t="str">
        <f aca="false">IF(AND(AW$5&gt;$F14,AW$5&lt;=$G14),IF($K14="Sí",2,1),IF(AND($D14=0,AW$5=$G14),3,""))</f>
        <v/>
      </c>
      <c r="AX14" s="75" t="str">
        <f aca="false">IF(AND(AX$5&gt;$F14,AX$5&lt;=$G14),IF($K14="Sí",2,1),IF(AND($D14=0,AX$5=$G14),3,""))</f>
        <v/>
      </c>
      <c r="AY14" s="75" t="str">
        <f aca="false">IF(AND(AY$5&gt;$F14,AY$5&lt;=$G14),IF($K14="Sí",2,1),IF(AND($D14=0,AY$5=$G14),3,""))</f>
        <v/>
      </c>
      <c r="AZ14" s="75" t="str">
        <f aca="false">IF(AND(AZ$5&gt;$F14,AZ$5&lt;=$G14),IF($K14="Sí",2,1),IF(AND($D14=0,AZ$5=$G14),3,""))</f>
        <v/>
      </c>
      <c r="BA14" s="75" t="str">
        <f aca="false">IF(AND(BA$5&gt;$F14,BA$5&lt;=$G14),IF($K14="Sí",2,1),IF(AND($D14=0,BA$5=$G14),3,""))</f>
        <v/>
      </c>
      <c r="BB14" s="75" t="str">
        <f aca="false">IF(AND(BB$5&gt;$F14,BB$5&lt;=$G14),IF($K14="Sí",2,1),IF(AND($D14=0,BB$5=$G14),3,""))</f>
        <v/>
      </c>
      <c r="BC14" s="75" t="str">
        <f aca="false">IF(AND(BC$5&gt;$F14,BC$5&lt;=$G14),IF($K14="Sí",2,1),IF(AND($D14=0,BC$5=$G14),3,""))</f>
        <v/>
      </c>
      <c r="BD14" s="75" t="str">
        <f aca="false">IF(AND(BD$5&gt;$F14,BD$5&lt;=$G14),IF($K14="Sí",2,1),IF(AND($D14=0,BD$5=$G14),3,""))</f>
        <v/>
      </c>
      <c r="BE14" s="75" t="str">
        <f aca="false">IF(AND(BE$5&gt;$F14,BE$5&lt;=$G14),IF($K14="Sí",2,1),IF(AND($D14=0,BE$5=$G14),3,""))</f>
        <v/>
      </c>
      <c r="BF14" s="75" t="str">
        <f aca="false">IF(AND(BF$5&gt;$F14,BF$5&lt;=$G14),IF($K14="Sí",2,1),IF(AND($D14=0,BF$5=$G14),3,""))</f>
        <v/>
      </c>
      <c r="BG14" s="75" t="str">
        <f aca="false">IF(AND(BG$5&gt;$F14,BG$5&lt;=$G14),IF($K14="Sí",2,1),IF(AND($D14=0,BG$5=$G14),3,""))</f>
        <v/>
      </c>
      <c r="BH14" s="75" t="str">
        <f aca="false">IF(AND(BH$5&gt;$F14,BH$5&lt;=$G14),IF($K14="Sí",2,1),IF(AND($D14=0,BH$5=$G14),3,""))</f>
        <v/>
      </c>
      <c r="BI14" s="75" t="str">
        <f aca="false">IF(AND(BI$5&gt;$F14,BI$5&lt;=$G14),IF($K14="Sí",2,1),IF(AND($D14=0,BI$5=$G14),3,""))</f>
        <v/>
      </c>
      <c r="BJ14" s="75" t="str">
        <f aca="false">IF(AND(BJ$5&gt;$F14,BJ$5&lt;=$G14),IF($K14="Sí",2,1),IF(AND($D14=0,BJ$5=$G14),3,""))</f>
        <v/>
      </c>
      <c r="BK14" s="75" t="str">
        <f aca="false">IF(AND(BK$5&gt;$F14,BK$5&lt;=$G14),IF($K14="Sí",2,1),IF(AND($D14=0,BK$5=$G14),3,""))</f>
        <v/>
      </c>
      <c r="BL14" s="75" t="str">
        <f aca="false">IF(AND(BL$5&gt;$F14,BL$5&lt;=$G14),IF($K14="Sí",2,1),IF(AND($D14=0,BL$5=$G14),3,""))</f>
        <v/>
      </c>
      <c r="BM14" s="75" t="str">
        <f aca="false">IF(AND(BM$5&gt;$F14,BM$5&lt;=$G14),IF($K14="Sí",2,1),IF(AND($D14=0,BM$5=$G14),3,""))</f>
        <v/>
      </c>
      <c r="BN14" s="75" t="str">
        <f aca="false">IF(AND(BN$5&gt;$F14,BN$5&lt;=$G14),IF($K14="Sí",2,1),IF(AND($D14=0,BN$5=$G14),3,""))</f>
        <v/>
      </c>
      <c r="BO14" s="75" t="str">
        <f aca="false">IF(AND(BO$5&gt;$F14,BO$5&lt;=$G14),IF($K14="Sí",2,1),IF(AND($D14=0,BO$5=$G14),3,""))</f>
        <v/>
      </c>
      <c r="BQ14" s="59" t="n">
        <v>0</v>
      </c>
      <c r="BR14" s="59" t="n">
        <v>301</v>
      </c>
      <c r="BS14" s="59" t="n">
        <v>0</v>
      </c>
      <c r="BT14" s="59" t="n">
        <v>0</v>
      </c>
      <c r="BU14" s="59" t="n">
        <v>179</v>
      </c>
      <c r="BV14" s="59" t="n">
        <v>0</v>
      </c>
      <c r="BW14" s="76" t="n">
        <f aca="false">L14-480</f>
        <v>0</v>
      </c>
      <c r="BX14" s="77" t="n">
        <f aca="false">IF($D14=0,0,BQ14/$D14)</f>
        <v>0</v>
      </c>
      <c r="BY14" s="77" t="n">
        <f aca="false">IF($D14=0,0,BR14/$D14)</f>
        <v>43</v>
      </c>
      <c r="BZ14" s="77" t="n">
        <f aca="false">IF($D14=0,0,BS14/$D14)</f>
        <v>0</v>
      </c>
      <c r="CA14" s="77" t="n">
        <f aca="false">IF($D14=0,0,BT14/$D14)</f>
        <v>0</v>
      </c>
      <c r="CB14" s="77" t="n">
        <f aca="false">IF($D14=0,0,BU14/$D14)</f>
        <v>25.5714285714286</v>
      </c>
      <c r="CC14" s="77" t="n">
        <f aca="false">IF($D14=0,0,BV14/$D14)</f>
        <v>0</v>
      </c>
    </row>
    <row r="15" customFormat="false" ht="15" hidden="false" customHeight="true" outlineLevel="0" collapsed="false">
      <c r="A15" s="7" t="s">
        <v>1400</v>
      </c>
      <c r="B15" s="7" t="s">
        <v>1401</v>
      </c>
      <c r="C15" s="7" t="s">
        <v>1397</v>
      </c>
      <c r="D15" s="30" t="n">
        <v>4</v>
      </c>
      <c r="E15" s="7" t="s">
        <v>1395</v>
      </c>
      <c r="F15" s="32" t="n">
        <f aca="false">MAX(G13)+Q15</f>
        <v>12</v>
      </c>
      <c r="G15" s="32" t="n">
        <f aca="false">F15+D15</f>
        <v>16</v>
      </c>
      <c r="H15" s="32" t="n">
        <f aca="false">I15-D15</f>
        <v>13</v>
      </c>
      <c r="I15" s="32" t="n">
        <f aca="false">MIN(H25)</f>
        <v>17</v>
      </c>
      <c r="J15" s="32" t="n">
        <f aca="false">H15-F15</f>
        <v>1</v>
      </c>
      <c r="K15" s="71" t="str">
        <f aca="false">IF(J15=0,"Sí","")</f>
        <v/>
      </c>
      <c r="L15" s="72" t="n">
        <f aca="false">SUM(BQ15:BV15)</f>
        <v>240</v>
      </c>
      <c r="M15" s="33" t="n">
        <f aca="false">SUMIFS(Cotizaciones!$J$5:$J$70,Cotizaciones!$C$5:$C$70,A15)</f>
        <v>0</v>
      </c>
      <c r="N15" s="32" t="n">
        <f aca="false">(L15*Supuestos!$B$47+M15*(1+Supuestos!$B$50))*(1+Supuestos!$B$51)/(1-Supuestos!$B$52)</f>
        <v>38987854.2510122</v>
      </c>
      <c r="O15" s="73" t="n">
        <f aca="false">$C$3+F15*7</f>
        <v>46482</v>
      </c>
      <c r="P15" s="73" t="n">
        <f aca="false">$C$3+G15*7-IF(D15&gt;0,1,0)</f>
        <v>46509</v>
      </c>
      <c r="Q15" s="74" t="n">
        <v>0</v>
      </c>
      <c r="R15" s="75" t="str">
        <f aca="false">IF(AND(R$5&gt;$F15,R$5&lt;=$G15),IF($K15="Sí",2,1),IF(AND($D15=0,R$5=$G15),3,""))</f>
        <v/>
      </c>
      <c r="S15" s="75" t="str">
        <f aca="false">IF(AND(S$5&gt;$F15,S$5&lt;=$G15),IF($K15="Sí",2,1),IF(AND($D15=0,S$5=$G15),3,""))</f>
        <v/>
      </c>
      <c r="T15" s="75" t="str">
        <f aca="false">IF(AND(T$5&gt;$F15,T$5&lt;=$G15),IF($K15="Sí",2,1),IF(AND($D15=0,T$5=$G15),3,""))</f>
        <v/>
      </c>
      <c r="U15" s="75" t="str">
        <f aca="false">IF(AND(U$5&gt;$F15,U$5&lt;=$G15),IF($K15="Sí",2,1),IF(AND($D15=0,U$5=$G15),3,""))</f>
        <v/>
      </c>
      <c r="V15" s="75" t="str">
        <f aca="false">IF(AND(V$5&gt;$F15,V$5&lt;=$G15),IF($K15="Sí",2,1),IF(AND($D15=0,V$5=$G15),3,""))</f>
        <v/>
      </c>
      <c r="W15" s="75" t="str">
        <f aca="false">IF(AND(W$5&gt;$F15,W$5&lt;=$G15),IF($K15="Sí",2,1),IF(AND($D15=0,W$5=$G15),3,""))</f>
        <v/>
      </c>
      <c r="X15" s="75" t="str">
        <f aca="false">IF(AND(X$5&gt;$F15,X$5&lt;=$G15),IF($K15="Sí",2,1),IF(AND($D15=0,X$5=$G15),3,""))</f>
        <v/>
      </c>
      <c r="Y15" s="75" t="str">
        <f aca="false">IF(AND(Y$5&gt;$F15,Y$5&lt;=$G15),IF($K15="Sí",2,1),IF(AND($D15=0,Y$5=$G15),3,""))</f>
        <v/>
      </c>
      <c r="Z15" s="75" t="str">
        <f aca="false">IF(AND(Z$5&gt;$F15,Z$5&lt;=$G15),IF($K15="Sí",2,1),IF(AND($D15=0,Z$5=$G15),3,""))</f>
        <v/>
      </c>
      <c r="AA15" s="75" t="str">
        <f aca="false">IF(AND(AA$5&gt;$F15,AA$5&lt;=$G15),IF($K15="Sí",2,1),IF(AND($D15=0,AA$5=$G15),3,""))</f>
        <v/>
      </c>
      <c r="AB15" s="75" t="str">
        <f aca="false">IF(AND(AB$5&gt;$F15,AB$5&lt;=$G15),IF($K15="Sí",2,1),IF(AND($D15=0,AB$5=$G15),3,""))</f>
        <v/>
      </c>
      <c r="AC15" s="75" t="str">
        <f aca="false">IF(AND(AC$5&gt;$F15,AC$5&lt;=$G15),IF($K15="Sí",2,1),IF(AND($D15=0,AC$5=$G15),3,""))</f>
        <v/>
      </c>
      <c r="AD15" s="75" t="n">
        <f aca="false">IF(AND(AD$5&gt;$F15,AD$5&lt;=$G15),IF($K15="Sí",2,1),IF(AND($D15=0,AD$5=$G15),3,""))</f>
        <v>1</v>
      </c>
      <c r="AE15" s="75" t="n">
        <f aca="false">IF(AND(AE$5&gt;$F15,AE$5&lt;=$G15),IF($K15="Sí",2,1),IF(AND($D15=0,AE$5=$G15),3,""))</f>
        <v>1</v>
      </c>
      <c r="AF15" s="75" t="n">
        <f aca="false">IF(AND(AF$5&gt;$F15,AF$5&lt;=$G15),IF($K15="Sí",2,1),IF(AND($D15=0,AF$5=$G15),3,""))</f>
        <v>1</v>
      </c>
      <c r="AG15" s="75" t="n">
        <f aca="false">IF(AND(AG$5&gt;$F15,AG$5&lt;=$G15),IF($K15="Sí",2,1),IF(AND($D15=0,AG$5=$G15),3,""))</f>
        <v>1</v>
      </c>
      <c r="AH15" s="75" t="str">
        <f aca="false">IF(AND(AH$5&gt;$F15,AH$5&lt;=$G15),IF($K15="Sí",2,1),IF(AND($D15=0,AH$5=$G15),3,""))</f>
        <v/>
      </c>
      <c r="AI15" s="75" t="str">
        <f aca="false">IF(AND(AI$5&gt;$F15,AI$5&lt;=$G15),IF($K15="Sí",2,1),IF(AND($D15=0,AI$5=$G15),3,""))</f>
        <v/>
      </c>
      <c r="AJ15" s="75" t="str">
        <f aca="false">IF(AND(AJ$5&gt;$F15,AJ$5&lt;=$G15),IF($K15="Sí",2,1),IF(AND($D15=0,AJ$5=$G15),3,""))</f>
        <v/>
      </c>
      <c r="AK15" s="75" t="str">
        <f aca="false">IF(AND(AK$5&gt;$F15,AK$5&lt;=$G15),IF($K15="Sí",2,1),IF(AND($D15=0,AK$5=$G15),3,""))</f>
        <v/>
      </c>
      <c r="AL15" s="75" t="str">
        <f aca="false">IF(AND(AL$5&gt;$F15,AL$5&lt;=$G15),IF($K15="Sí",2,1),IF(AND($D15=0,AL$5=$G15),3,""))</f>
        <v/>
      </c>
      <c r="AM15" s="75" t="str">
        <f aca="false">IF(AND(AM$5&gt;$F15,AM$5&lt;=$G15),IF($K15="Sí",2,1),IF(AND($D15=0,AM$5=$G15),3,""))</f>
        <v/>
      </c>
      <c r="AN15" s="75" t="str">
        <f aca="false">IF(AND(AN$5&gt;$F15,AN$5&lt;=$G15),IF($K15="Sí",2,1),IF(AND($D15=0,AN$5=$G15),3,""))</f>
        <v/>
      </c>
      <c r="AO15" s="75" t="str">
        <f aca="false">IF(AND(AO$5&gt;$F15,AO$5&lt;=$G15),IF($K15="Sí",2,1),IF(AND($D15=0,AO$5=$G15),3,""))</f>
        <v/>
      </c>
      <c r="AP15" s="75" t="str">
        <f aca="false">IF(AND(AP$5&gt;$F15,AP$5&lt;=$G15),IF($K15="Sí",2,1),IF(AND($D15=0,AP$5=$G15),3,""))</f>
        <v/>
      </c>
      <c r="AQ15" s="75" t="str">
        <f aca="false">IF(AND(AQ$5&gt;$F15,AQ$5&lt;=$G15),IF($K15="Sí",2,1),IF(AND($D15=0,AQ$5=$G15),3,""))</f>
        <v/>
      </c>
      <c r="AR15" s="75" t="str">
        <f aca="false">IF(AND(AR$5&gt;$F15,AR$5&lt;=$G15),IF($K15="Sí",2,1),IF(AND($D15=0,AR$5=$G15),3,""))</f>
        <v/>
      </c>
      <c r="AS15" s="75" t="str">
        <f aca="false">IF(AND(AS$5&gt;$F15,AS$5&lt;=$G15),IF($K15="Sí",2,1),IF(AND($D15=0,AS$5=$G15),3,""))</f>
        <v/>
      </c>
      <c r="AT15" s="75" t="str">
        <f aca="false">IF(AND(AT$5&gt;$F15,AT$5&lt;=$G15),IF($K15="Sí",2,1),IF(AND($D15=0,AT$5=$G15),3,""))</f>
        <v/>
      </c>
      <c r="AU15" s="75" t="str">
        <f aca="false">IF(AND(AU$5&gt;$F15,AU$5&lt;=$G15),IF($K15="Sí",2,1),IF(AND($D15=0,AU$5=$G15),3,""))</f>
        <v/>
      </c>
      <c r="AV15" s="75" t="str">
        <f aca="false">IF(AND(AV$5&gt;$F15,AV$5&lt;=$G15),IF($K15="Sí",2,1),IF(AND($D15=0,AV$5=$G15),3,""))</f>
        <v/>
      </c>
      <c r="AW15" s="75" t="str">
        <f aca="false">IF(AND(AW$5&gt;$F15,AW$5&lt;=$G15),IF($K15="Sí",2,1),IF(AND($D15=0,AW$5=$G15),3,""))</f>
        <v/>
      </c>
      <c r="AX15" s="75" t="str">
        <f aca="false">IF(AND(AX$5&gt;$F15,AX$5&lt;=$G15),IF($K15="Sí",2,1),IF(AND($D15=0,AX$5=$G15),3,""))</f>
        <v/>
      </c>
      <c r="AY15" s="75" t="str">
        <f aca="false">IF(AND(AY$5&gt;$F15,AY$5&lt;=$G15),IF($K15="Sí",2,1),IF(AND($D15=0,AY$5=$G15),3,""))</f>
        <v/>
      </c>
      <c r="AZ15" s="75" t="str">
        <f aca="false">IF(AND(AZ$5&gt;$F15,AZ$5&lt;=$G15),IF($K15="Sí",2,1),IF(AND($D15=0,AZ$5=$G15),3,""))</f>
        <v/>
      </c>
      <c r="BA15" s="75" t="str">
        <f aca="false">IF(AND(BA$5&gt;$F15,BA$5&lt;=$G15),IF($K15="Sí",2,1),IF(AND($D15=0,BA$5=$G15),3,""))</f>
        <v/>
      </c>
      <c r="BB15" s="75" t="str">
        <f aca="false">IF(AND(BB$5&gt;$F15,BB$5&lt;=$G15),IF($K15="Sí",2,1),IF(AND($D15=0,BB$5=$G15),3,""))</f>
        <v/>
      </c>
      <c r="BC15" s="75" t="str">
        <f aca="false">IF(AND(BC$5&gt;$F15,BC$5&lt;=$G15),IF($K15="Sí",2,1),IF(AND($D15=0,BC$5=$G15),3,""))</f>
        <v/>
      </c>
      <c r="BD15" s="75" t="str">
        <f aca="false">IF(AND(BD$5&gt;$F15,BD$5&lt;=$G15),IF($K15="Sí",2,1),IF(AND($D15=0,BD$5=$G15),3,""))</f>
        <v/>
      </c>
      <c r="BE15" s="75" t="str">
        <f aca="false">IF(AND(BE$5&gt;$F15,BE$5&lt;=$G15),IF($K15="Sí",2,1),IF(AND($D15=0,BE$5=$G15),3,""))</f>
        <v/>
      </c>
      <c r="BF15" s="75" t="str">
        <f aca="false">IF(AND(BF$5&gt;$F15,BF$5&lt;=$G15),IF($K15="Sí",2,1),IF(AND($D15=0,BF$5=$G15),3,""))</f>
        <v/>
      </c>
      <c r="BG15" s="75" t="str">
        <f aca="false">IF(AND(BG$5&gt;$F15,BG$5&lt;=$G15),IF($K15="Sí",2,1),IF(AND($D15=0,BG$5=$G15),3,""))</f>
        <v/>
      </c>
      <c r="BH15" s="75" t="str">
        <f aca="false">IF(AND(BH$5&gt;$F15,BH$5&lt;=$G15),IF($K15="Sí",2,1),IF(AND($D15=0,BH$5=$G15),3,""))</f>
        <v/>
      </c>
      <c r="BI15" s="75" t="str">
        <f aca="false">IF(AND(BI$5&gt;$F15,BI$5&lt;=$G15),IF($K15="Sí",2,1),IF(AND($D15=0,BI$5=$G15),3,""))</f>
        <v/>
      </c>
      <c r="BJ15" s="75" t="str">
        <f aca="false">IF(AND(BJ$5&gt;$F15,BJ$5&lt;=$G15),IF($K15="Sí",2,1),IF(AND($D15=0,BJ$5=$G15),3,""))</f>
        <v/>
      </c>
      <c r="BK15" s="75" t="str">
        <f aca="false">IF(AND(BK$5&gt;$F15,BK$5&lt;=$G15),IF($K15="Sí",2,1),IF(AND($D15=0,BK$5=$G15),3,""))</f>
        <v/>
      </c>
      <c r="BL15" s="75" t="str">
        <f aca="false">IF(AND(BL$5&gt;$F15,BL$5&lt;=$G15),IF($K15="Sí",2,1),IF(AND($D15=0,BL$5=$G15),3,""))</f>
        <v/>
      </c>
      <c r="BM15" s="75" t="str">
        <f aca="false">IF(AND(BM$5&gt;$F15,BM$5&lt;=$G15),IF($K15="Sí",2,1),IF(AND($D15=0,BM$5=$G15),3,""))</f>
        <v/>
      </c>
      <c r="BN15" s="75" t="str">
        <f aca="false">IF(AND(BN$5&gt;$F15,BN$5&lt;=$G15),IF($K15="Sí",2,1),IF(AND($D15=0,BN$5=$G15),3,""))</f>
        <v/>
      </c>
      <c r="BO15" s="75" t="str">
        <f aca="false">IF(AND(BO$5&gt;$F15,BO$5&lt;=$G15),IF($K15="Sí",2,1),IF(AND($D15=0,BO$5=$G15),3,""))</f>
        <v/>
      </c>
      <c r="BQ15" s="59" t="n">
        <v>0</v>
      </c>
      <c r="BR15" s="59" t="n">
        <v>0</v>
      </c>
      <c r="BS15" s="59" t="n">
        <v>30</v>
      </c>
      <c r="BT15" s="59" t="n">
        <v>174</v>
      </c>
      <c r="BU15" s="59" t="n">
        <v>19</v>
      </c>
      <c r="BV15" s="59" t="n">
        <v>17</v>
      </c>
      <c r="BW15" s="76" t="n">
        <f aca="false">L15-240</f>
        <v>0</v>
      </c>
      <c r="BX15" s="77" t="n">
        <f aca="false">IF($D15=0,0,BQ15/$D15)</f>
        <v>0</v>
      </c>
      <c r="BY15" s="77" t="n">
        <f aca="false">IF($D15=0,0,BR15/$D15)</f>
        <v>0</v>
      </c>
      <c r="BZ15" s="77" t="n">
        <f aca="false">IF($D15=0,0,BS15/$D15)</f>
        <v>7.5</v>
      </c>
      <c r="CA15" s="77" t="n">
        <f aca="false">IF($D15=0,0,BT15/$D15)</f>
        <v>43.5</v>
      </c>
      <c r="CB15" s="77" t="n">
        <f aca="false">IF($D15=0,0,BU15/$D15)</f>
        <v>4.75</v>
      </c>
      <c r="CC15" s="77" t="n">
        <f aca="false">IF($D15=0,0,BV15/$D15)</f>
        <v>4.25</v>
      </c>
    </row>
    <row r="16" customFormat="false" ht="15" hidden="false" customHeight="true" outlineLevel="0" collapsed="false">
      <c r="A16" s="7" t="s">
        <v>1402</v>
      </c>
      <c r="B16" s="7" t="s">
        <v>1403</v>
      </c>
      <c r="C16" s="7" t="s">
        <v>1397</v>
      </c>
      <c r="D16" s="30" t="n">
        <v>4</v>
      </c>
      <c r="E16" s="7" t="s">
        <v>1392</v>
      </c>
      <c r="F16" s="32" t="n">
        <f aca="false">MAX(G12)+Q16</f>
        <v>7</v>
      </c>
      <c r="G16" s="32" t="n">
        <f aca="false">F16+D16</f>
        <v>11</v>
      </c>
      <c r="H16" s="32" t="n">
        <f aca="false">I16-D16</f>
        <v>7</v>
      </c>
      <c r="I16" s="32" t="n">
        <f aca="false">MIN(H21,H24,H32)</f>
        <v>11</v>
      </c>
      <c r="J16" s="32" t="n">
        <f aca="false">H16-F16</f>
        <v>0</v>
      </c>
      <c r="K16" s="71" t="str">
        <f aca="false">IF(J16=0,"Sí","")</f>
        <v>Sí</v>
      </c>
      <c r="L16" s="72" t="n">
        <f aca="false">SUM(BQ16:BV16)</f>
        <v>320</v>
      </c>
      <c r="M16" s="33" t="n">
        <f aca="false">SUMIFS(Cotizaciones!$J$5:$J$70,Cotizaciones!$C$5:$C$70,A16)</f>
        <v>0</v>
      </c>
      <c r="N16" s="32" t="n">
        <f aca="false">(L16*Supuestos!$B$47+M16*(1+Supuestos!$B$50))*(1+Supuestos!$B$51)/(1-Supuestos!$B$52)</f>
        <v>51983805.6680162</v>
      </c>
      <c r="O16" s="73" t="n">
        <f aca="false">$C$3+F16*7</f>
        <v>46447</v>
      </c>
      <c r="P16" s="73" t="n">
        <f aca="false">$C$3+G16*7-IF(D16&gt;0,1,0)</f>
        <v>46474</v>
      </c>
      <c r="Q16" s="74" t="n">
        <v>0</v>
      </c>
      <c r="R16" s="75" t="str">
        <f aca="false">IF(AND(R$5&gt;$F16,R$5&lt;=$G16),IF($K16="Sí",2,1),IF(AND($D16=0,R$5=$G16),3,""))</f>
        <v/>
      </c>
      <c r="S16" s="75" t="str">
        <f aca="false">IF(AND(S$5&gt;$F16,S$5&lt;=$G16),IF($K16="Sí",2,1),IF(AND($D16=0,S$5=$G16),3,""))</f>
        <v/>
      </c>
      <c r="T16" s="75" t="str">
        <f aca="false">IF(AND(T$5&gt;$F16,T$5&lt;=$G16),IF($K16="Sí",2,1),IF(AND($D16=0,T$5=$G16),3,""))</f>
        <v/>
      </c>
      <c r="U16" s="75" t="str">
        <f aca="false">IF(AND(U$5&gt;$F16,U$5&lt;=$G16),IF($K16="Sí",2,1),IF(AND($D16=0,U$5=$G16),3,""))</f>
        <v/>
      </c>
      <c r="V16" s="75" t="str">
        <f aca="false">IF(AND(V$5&gt;$F16,V$5&lt;=$G16),IF($K16="Sí",2,1),IF(AND($D16=0,V$5=$G16),3,""))</f>
        <v/>
      </c>
      <c r="W16" s="75" t="str">
        <f aca="false">IF(AND(W$5&gt;$F16,W$5&lt;=$G16),IF($K16="Sí",2,1),IF(AND($D16=0,W$5=$G16),3,""))</f>
        <v/>
      </c>
      <c r="X16" s="75" t="str">
        <f aca="false">IF(AND(X$5&gt;$F16,X$5&lt;=$G16),IF($K16="Sí",2,1),IF(AND($D16=0,X$5=$G16),3,""))</f>
        <v/>
      </c>
      <c r="Y16" s="75" t="n">
        <f aca="false">IF(AND(Y$5&gt;$F16,Y$5&lt;=$G16),IF($K16="Sí",2,1),IF(AND($D16=0,Y$5=$G16),3,""))</f>
        <v>2</v>
      </c>
      <c r="Z16" s="75" t="n">
        <f aca="false">IF(AND(Z$5&gt;$F16,Z$5&lt;=$G16),IF($K16="Sí",2,1),IF(AND($D16=0,Z$5=$G16),3,""))</f>
        <v>2</v>
      </c>
      <c r="AA16" s="75" t="n">
        <f aca="false">IF(AND(AA$5&gt;$F16,AA$5&lt;=$G16),IF($K16="Sí",2,1),IF(AND($D16=0,AA$5=$G16),3,""))</f>
        <v>2</v>
      </c>
      <c r="AB16" s="75" t="n">
        <f aca="false">IF(AND(AB$5&gt;$F16,AB$5&lt;=$G16),IF($K16="Sí",2,1),IF(AND($D16=0,AB$5=$G16),3,""))</f>
        <v>2</v>
      </c>
      <c r="AC16" s="75" t="str">
        <f aca="false">IF(AND(AC$5&gt;$F16,AC$5&lt;=$G16),IF($K16="Sí",2,1),IF(AND($D16=0,AC$5=$G16),3,""))</f>
        <v/>
      </c>
      <c r="AD16" s="75" t="str">
        <f aca="false">IF(AND(AD$5&gt;$F16,AD$5&lt;=$G16),IF($K16="Sí",2,1),IF(AND($D16=0,AD$5=$G16),3,""))</f>
        <v/>
      </c>
      <c r="AE16" s="75" t="str">
        <f aca="false">IF(AND(AE$5&gt;$F16,AE$5&lt;=$G16),IF($K16="Sí",2,1),IF(AND($D16=0,AE$5=$G16),3,""))</f>
        <v/>
      </c>
      <c r="AF16" s="75" t="str">
        <f aca="false">IF(AND(AF$5&gt;$F16,AF$5&lt;=$G16),IF($K16="Sí",2,1),IF(AND($D16=0,AF$5=$G16),3,""))</f>
        <v/>
      </c>
      <c r="AG16" s="75" t="str">
        <f aca="false">IF(AND(AG$5&gt;$F16,AG$5&lt;=$G16),IF($K16="Sí",2,1),IF(AND($D16=0,AG$5=$G16),3,""))</f>
        <v/>
      </c>
      <c r="AH16" s="75" t="str">
        <f aca="false">IF(AND(AH$5&gt;$F16,AH$5&lt;=$G16),IF($K16="Sí",2,1),IF(AND($D16=0,AH$5=$G16),3,""))</f>
        <v/>
      </c>
      <c r="AI16" s="75" t="str">
        <f aca="false">IF(AND(AI$5&gt;$F16,AI$5&lt;=$G16),IF($K16="Sí",2,1),IF(AND($D16=0,AI$5=$G16),3,""))</f>
        <v/>
      </c>
      <c r="AJ16" s="75" t="str">
        <f aca="false">IF(AND(AJ$5&gt;$F16,AJ$5&lt;=$G16),IF($K16="Sí",2,1),IF(AND($D16=0,AJ$5=$G16),3,""))</f>
        <v/>
      </c>
      <c r="AK16" s="75" t="str">
        <f aca="false">IF(AND(AK$5&gt;$F16,AK$5&lt;=$G16),IF($K16="Sí",2,1),IF(AND($D16=0,AK$5=$G16),3,""))</f>
        <v/>
      </c>
      <c r="AL16" s="75" t="str">
        <f aca="false">IF(AND(AL$5&gt;$F16,AL$5&lt;=$G16),IF($K16="Sí",2,1),IF(AND($D16=0,AL$5=$G16),3,""))</f>
        <v/>
      </c>
      <c r="AM16" s="75" t="str">
        <f aca="false">IF(AND(AM$5&gt;$F16,AM$5&lt;=$G16),IF($K16="Sí",2,1),IF(AND($D16=0,AM$5=$G16),3,""))</f>
        <v/>
      </c>
      <c r="AN16" s="75" t="str">
        <f aca="false">IF(AND(AN$5&gt;$F16,AN$5&lt;=$G16),IF($K16="Sí",2,1),IF(AND($D16=0,AN$5=$G16),3,""))</f>
        <v/>
      </c>
      <c r="AO16" s="75" t="str">
        <f aca="false">IF(AND(AO$5&gt;$F16,AO$5&lt;=$G16),IF($K16="Sí",2,1),IF(AND($D16=0,AO$5=$G16),3,""))</f>
        <v/>
      </c>
      <c r="AP16" s="75" t="str">
        <f aca="false">IF(AND(AP$5&gt;$F16,AP$5&lt;=$G16),IF($K16="Sí",2,1),IF(AND($D16=0,AP$5=$G16),3,""))</f>
        <v/>
      </c>
      <c r="AQ16" s="75" t="str">
        <f aca="false">IF(AND(AQ$5&gt;$F16,AQ$5&lt;=$G16),IF($K16="Sí",2,1),IF(AND($D16=0,AQ$5=$G16),3,""))</f>
        <v/>
      </c>
      <c r="AR16" s="75" t="str">
        <f aca="false">IF(AND(AR$5&gt;$F16,AR$5&lt;=$G16),IF($K16="Sí",2,1),IF(AND($D16=0,AR$5=$G16),3,""))</f>
        <v/>
      </c>
      <c r="AS16" s="75" t="str">
        <f aca="false">IF(AND(AS$5&gt;$F16,AS$5&lt;=$G16),IF($K16="Sí",2,1),IF(AND($D16=0,AS$5=$G16),3,""))</f>
        <v/>
      </c>
      <c r="AT16" s="75" t="str">
        <f aca="false">IF(AND(AT$5&gt;$F16,AT$5&lt;=$G16),IF($K16="Sí",2,1),IF(AND($D16=0,AT$5=$G16),3,""))</f>
        <v/>
      </c>
      <c r="AU16" s="75" t="str">
        <f aca="false">IF(AND(AU$5&gt;$F16,AU$5&lt;=$G16),IF($K16="Sí",2,1),IF(AND($D16=0,AU$5=$G16),3,""))</f>
        <v/>
      </c>
      <c r="AV16" s="75" t="str">
        <f aca="false">IF(AND(AV$5&gt;$F16,AV$5&lt;=$G16),IF($K16="Sí",2,1),IF(AND($D16=0,AV$5=$G16),3,""))</f>
        <v/>
      </c>
      <c r="AW16" s="75" t="str">
        <f aca="false">IF(AND(AW$5&gt;$F16,AW$5&lt;=$G16),IF($K16="Sí",2,1),IF(AND($D16=0,AW$5=$G16),3,""))</f>
        <v/>
      </c>
      <c r="AX16" s="75" t="str">
        <f aca="false">IF(AND(AX$5&gt;$F16,AX$5&lt;=$G16),IF($K16="Sí",2,1),IF(AND($D16=0,AX$5=$G16),3,""))</f>
        <v/>
      </c>
      <c r="AY16" s="75" t="str">
        <f aca="false">IF(AND(AY$5&gt;$F16,AY$5&lt;=$G16),IF($K16="Sí",2,1),IF(AND($D16=0,AY$5=$G16),3,""))</f>
        <v/>
      </c>
      <c r="AZ16" s="75" t="str">
        <f aca="false">IF(AND(AZ$5&gt;$F16,AZ$5&lt;=$G16),IF($K16="Sí",2,1),IF(AND($D16=0,AZ$5=$G16),3,""))</f>
        <v/>
      </c>
      <c r="BA16" s="75" t="str">
        <f aca="false">IF(AND(BA$5&gt;$F16,BA$5&lt;=$G16),IF($K16="Sí",2,1),IF(AND($D16=0,BA$5=$G16),3,""))</f>
        <v/>
      </c>
      <c r="BB16" s="75" t="str">
        <f aca="false">IF(AND(BB$5&gt;$F16,BB$5&lt;=$G16),IF($K16="Sí",2,1),IF(AND($D16=0,BB$5=$G16),3,""))</f>
        <v/>
      </c>
      <c r="BC16" s="75" t="str">
        <f aca="false">IF(AND(BC$5&gt;$F16,BC$5&lt;=$G16),IF($K16="Sí",2,1),IF(AND($D16=0,BC$5=$G16),3,""))</f>
        <v/>
      </c>
      <c r="BD16" s="75" t="str">
        <f aca="false">IF(AND(BD$5&gt;$F16,BD$5&lt;=$G16),IF($K16="Sí",2,1),IF(AND($D16=0,BD$5=$G16),3,""))</f>
        <v/>
      </c>
      <c r="BE16" s="75" t="str">
        <f aca="false">IF(AND(BE$5&gt;$F16,BE$5&lt;=$G16),IF($K16="Sí",2,1),IF(AND($D16=0,BE$5=$G16),3,""))</f>
        <v/>
      </c>
      <c r="BF16" s="75" t="str">
        <f aca="false">IF(AND(BF$5&gt;$F16,BF$5&lt;=$G16),IF($K16="Sí",2,1),IF(AND($D16=0,BF$5=$G16),3,""))</f>
        <v/>
      </c>
      <c r="BG16" s="75" t="str">
        <f aca="false">IF(AND(BG$5&gt;$F16,BG$5&lt;=$G16),IF($K16="Sí",2,1),IF(AND($D16=0,BG$5=$G16),3,""))</f>
        <v/>
      </c>
      <c r="BH16" s="75" t="str">
        <f aca="false">IF(AND(BH$5&gt;$F16,BH$5&lt;=$G16),IF($K16="Sí",2,1),IF(AND($D16=0,BH$5=$G16),3,""))</f>
        <v/>
      </c>
      <c r="BI16" s="75" t="str">
        <f aca="false">IF(AND(BI$5&gt;$F16,BI$5&lt;=$G16),IF($K16="Sí",2,1),IF(AND($D16=0,BI$5=$G16),3,""))</f>
        <v/>
      </c>
      <c r="BJ16" s="75" t="str">
        <f aca="false">IF(AND(BJ$5&gt;$F16,BJ$5&lt;=$G16),IF($K16="Sí",2,1),IF(AND($D16=0,BJ$5=$G16),3,""))</f>
        <v/>
      </c>
      <c r="BK16" s="75" t="str">
        <f aca="false">IF(AND(BK$5&gt;$F16,BK$5&lt;=$G16),IF($K16="Sí",2,1),IF(AND($D16=0,BK$5=$G16),3,""))</f>
        <v/>
      </c>
      <c r="BL16" s="75" t="str">
        <f aca="false">IF(AND(BL$5&gt;$F16,BL$5&lt;=$G16),IF($K16="Sí",2,1),IF(AND($D16=0,BL$5=$G16),3,""))</f>
        <v/>
      </c>
      <c r="BM16" s="75" t="str">
        <f aca="false">IF(AND(BM$5&gt;$F16,BM$5&lt;=$G16),IF($K16="Sí",2,1),IF(AND($D16=0,BM$5=$G16),3,""))</f>
        <v/>
      </c>
      <c r="BN16" s="75" t="str">
        <f aca="false">IF(AND(BN$5&gt;$F16,BN$5&lt;=$G16),IF($K16="Sí",2,1),IF(AND($D16=0,BN$5=$G16),3,""))</f>
        <v/>
      </c>
      <c r="BO16" s="75" t="str">
        <f aca="false">IF(AND(BO$5&gt;$F16,BO$5&lt;=$G16),IF($K16="Sí",2,1),IF(AND($D16=0,BO$5=$G16),3,""))</f>
        <v/>
      </c>
      <c r="BQ16" s="59" t="n">
        <v>0</v>
      </c>
      <c r="BR16" s="59" t="n">
        <v>0</v>
      </c>
      <c r="BS16" s="59" t="n">
        <v>0</v>
      </c>
      <c r="BT16" s="59" t="n">
        <v>127</v>
      </c>
      <c r="BU16" s="59" t="n">
        <v>19</v>
      </c>
      <c r="BV16" s="59" t="n">
        <v>174</v>
      </c>
      <c r="BW16" s="76" t="n">
        <f aca="false">L16-320</f>
        <v>0</v>
      </c>
      <c r="BX16" s="77" t="n">
        <f aca="false">IF($D16=0,0,BQ16/$D16)</f>
        <v>0</v>
      </c>
      <c r="BY16" s="77" t="n">
        <f aca="false">IF($D16=0,0,BR16/$D16)</f>
        <v>0</v>
      </c>
      <c r="BZ16" s="77" t="n">
        <f aca="false">IF($D16=0,0,BS16/$D16)</f>
        <v>0</v>
      </c>
      <c r="CA16" s="77" t="n">
        <f aca="false">IF($D16=0,0,BT16/$D16)</f>
        <v>31.75</v>
      </c>
      <c r="CB16" s="77" t="n">
        <f aca="false">IF($D16=0,0,BU16/$D16)</f>
        <v>4.75</v>
      </c>
      <c r="CC16" s="77" t="n">
        <f aca="false">IF($D16=0,0,BV16/$D16)</f>
        <v>43.5</v>
      </c>
    </row>
    <row r="17" customFormat="false" ht="15" hidden="false" customHeight="true" outlineLevel="0" collapsed="false">
      <c r="A17" s="7" t="s">
        <v>1404</v>
      </c>
      <c r="B17" s="7" t="s">
        <v>1405</v>
      </c>
      <c r="C17" s="7" t="s">
        <v>1406</v>
      </c>
      <c r="D17" s="30" t="n">
        <v>4</v>
      </c>
      <c r="E17" s="7" t="s">
        <v>1392</v>
      </c>
      <c r="F17" s="32" t="n">
        <f aca="false">MAX(G12)+Q17</f>
        <v>11</v>
      </c>
      <c r="G17" s="32" t="n">
        <f aca="false">F17+D17</f>
        <v>15</v>
      </c>
      <c r="H17" s="32" t="n">
        <f aca="false">I17-D17</f>
        <v>13</v>
      </c>
      <c r="I17" s="32" t="n">
        <f aca="false">MIN(H25)</f>
        <v>17</v>
      </c>
      <c r="J17" s="32" t="n">
        <f aca="false">H17-F17</f>
        <v>2</v>
      </c>
      <c r="K17" s="71" t="str">
        <f aca="false">IF(J17=0,"Sí","")</f>
        <v/>
      </c>
      <c r="L17" s="72" t="n">
        <f aca="false">SUM(BQ17:BV17)</f>
        <v>160</v>
      </c>
      <c r="M17" s="33" t="n">
        <f aca="false">SUMIFS(Cotizaciones!$J$5:$J$70,Cotizaciones!$C$5:$C$70,A17)</f>
        <v>0</v>
      </c>
      <c r="N17" s="32" t="n">
        <f aca="false">(L17*Supuestos!$B$47+M17*(1+Supuestos!$B$50))*(1+Supuestos!$B$51)/(1-Supuestos!$B$52)</f>
        <v>25991902.8340081</v>
      </c>
      <c r="O17" s="73" t="n">
        <f aca="false">$C$3+F17*7</f>
        <v>46475</v>
      </c>
      <c r="P17" s="73" t="n">
        <f aca="false">$C$3+G17*7-IF(D17&gt;0,1,0)</f>
        <v>46502</v>
      </c>
      <c r="Q17" s="74" t="n">
        <v>4</v>
      </c>
      <c r="R17" s="75" t="str">
        <f aca="false">IF(AND(R$5&gt;$F17,R$5&lt;=$G17),IF($K17="Sí",2,1),IF(AND($D17=0,R$5=$G17),3,""))</f>
        <v/>
      </c>
      <c r="S17" s="75" t="str">
        <f aca="false">IF(AND(S$5&gt;$F17,S$5&lt;=$G17),IF($K17="Sí",2,1),IF(AND($D17=0,S$5=$G17),3,""))</f>
        <v/>
      </c>
      <c r="T17" s="75" t="str">
        <f aca="false">IF(AND(T$5&gt;$F17,T$5&lt;=$G17),IF($K17="Sí",2,1),IF(AND($D17=0,T$5=$G17),3,""))</f>
        <v/>
      </c>
      <c r="U17" s="75" t="str">
        <f aca="false">IF(AND(U$5&gt;$F17,U$5&lt;=$G17),IF($K17="Sí",2,1),IF(AND($D17=0,U$5=$G17),3,""))</f>
        <v/>
      </c>
      <c r="V17" s="75" t="str">
        <f aca="false">IF(AND(V$5&gt;$F17,V$5&lt;=$G17),IF($K17="Sí",2,1),IF(AND($D17=0,V$5=$G17),3,""))</f>
        <v/>
      </c>
      <c r="W17" s="75" t="str">
        <f aca="false">IF(AND(W$5&gt;$F17,W$5&lt;=$G17),IF($K17="Sí",2,1),IF(AND($D17=0,W$5=$G17),3,""))</f>
        <v/>
      </c>
      <c r="X17" s="75" t="str">
        <f aca="false">IF(AND(X$5&gt;$F17,X$5&lt;=$G17),IF($K17="Sí",2,1),IF(AND($D17=0,X$5=$G17),3,""))</f>
        <v/>
      </c>
      <c r="Y17" s="75" t="str">
        <f aca="false">IF(AND(Y$5&gt;$F17,Y$5&lt;=$G17),IF($K17="Sí",2,1),IF(AND($D17=0,Y$5=$G17),3,""))</f>
        <v/>
      </c>
      <c r="Z17" s="75" t="str">
        <f aca="false">IF(AND(Z$5&gt;$F17,Z$5&lt;=$G17),IF($K17="Sí",2,1),IF(AND($D17=0,Z$5=$G17),3,""))</f>
        <v/>
      </c>
      <c r="AA17" s="75" t="str">
        <f aca="false">IF(AND(AA$5&gt;$F17,AA$5&lt;=$G17),IF($K17="Sí",2,1),IF(AND($D17=0,AA$5=$G17),3,""))</f>
        <v/>
      </c>
      <c r="AB17" s="75" t="str">
        <f aca="false">IF(AND(AB$5&gt;$F17,AB$5&lt;=$G17),IF($K17="Sí",2,1),IF(AND($D17=0,AB$5=$G17),3,""))</f>
        <v/>
      </c>
      <c r="AC17" s="75" t="n">
        <f aca="false">IF(AND(AC$5&gt;$F17,AC$5&lt;=$G17),IF($K17="Sí",2,1),IF(AND($D17=0,AC$5=$G17),3,""))</f>
        <v>1</v>
      </c>
      <c r="AD17" s="75" t="n">
        <f aca="false">IF(AND(AD$5&gt;$F17,AD$5&lt;=$G17),IF($K17="Sí",2,1),IF(AND($D17=0,AD$5=$G17),3,""))</f>
        <v>1</v>
      </c>
      <c r="AE17" s="75" t="n">
        <f aca="false">IF(AND(AE$5&gt;$F17,AE$5&lt;=$G17),IF($K17="Sí",2,1),IF(AND($D17=0,AE$5=$G17),3,""))</f>
        <v>1</v>
      </c>
      <c r="AF17" s="75" t="n">
        <f aca="false">IF(AND(AF$5&gt;$F17,AF$5&lt;=$G17),IF($K17="Sí",2,1),IF(AND($D17=0,AF$5=$G17),3,""))</f>
        <v>1</v>
      </c>
      <c r="AG17" s="75" t="str">
        <f aca="false">IF(AND(AG$5&gt;$F17,AG$5&lt;=$G17),IF($K17="Sí",2,1),IF(AND($D17=0,AG$5=$G17),3,""))</f>
        <v/>
      </c>
      <c r="AH17" s="75" t="str">
        <f aca="false">IF(AND(AH$5&gt;$F17,AH$5&lt;=$G17),IF($K17="Sí",2,1),IF(AND($D17=0,AH$5=$G17),3,""))</f>
        <v/>
      </c>
      <c r="AI17" s="75" t="str">
        <f aca="false">IF(AND(AI$5&gt;$F17,AI$5&lt;=$G17),IF($K17="Sí",2,1),IF(AND($D17=0,AI$5=$G17),3,""))</f>
        <v/>
      </c>
      <c r="AJ17" s="75" t="str">
        <f aca="false">IF(AND(AJ$5&gt;$F17,AJ$5&lt;=$G17),IF($K17="Sí",2,1),IF(AND($D17=0,AJ$5=$G17),3,""))</f>
        <v/>
      </c>
      <c r="AK17" s="75" t="str">
        <f aca="false">IF(AND(AK$5&gt;$F17,AK$5&lt;=$G17),IF($K17="Sí",2,1),IF(AND($D17=0,AK$5=$G17),3,""))</f>
        <v/>
      </c>
      <c r="AL17" s="75" t="str">
        <f aca="false">IF(AND(AL$5&gt;$F17,AL$5&lt;=$G17),IF($K17="Sí",2,1),IF(AND($D17=0,AL$5=$G17),3,""))</f>
        <v/>
      </c>
      <c r="AM17" s="75" t="str">
        <f aca="false">IF(AND(AM$5&gt;$F17,AM$5&lt;=$G17),IF($K17="Sí",2,1),IF(AND($D17=0,AM$5=$G17),3,""))</f>
        <v/>
      </c>
      <c r="AN17" s="75" t="str">
        <f aca="false">IF(AND(AN$5&gt;$F17,AN$5&lt;=$G17),IF($K17="Sí",2,1),IF(AND($D17=0,AN$5=$G17),3,""))</f>
        <v/>
      </c>
      <c r="AO17" s="75" t="str">
        <f aca="false">IF(AND(AO$5&gt;$F17,AO$5&lt;=$G17),IF($K17="Sí",2,1),IF(AND($D17=0,AO$5=$G17),3,""))</f>
        <v/>
      </c>
      <c r="AP17" s="75" t="str">
        <f aca="false">IF(AND(AP$5&gt;$F17,AP$5&lt;=$G17),IF($K17="Sí",2,1),IF(AND($D17=0,AP$5=$G17),3,""))</f>
        <v/>
      </c>
      <c r="AQ17" s="75" t="str">
        <f aca="false">IF(AND(AQ$5&gt;$F17,AQ$5&lt;=$G17),IF($K17="Sí",2,1),IF(AND($D17=0,AQ$5=$G17),3,""))</f>
        <v/>
      </c>
      <c r="AR17" s="75" t="str">
        <f aca="false">IF(AND(AR$5&gt;$F17,AR$5&lt;=$G17),IF($K17="Sí",2,1),IF(AND($D17=0,AR$5=$G17),3,""))</f>
        <v/>
      </c>
      <c r="AS17" s="75" t="str">
        <f aca="false">IF(AND(AS$5&gt;$F17,AS$5&lt;=$G17),IF($K17="Sí",2,1),IF(AND($D17=0,AS$5=$G17),3,""))</f>
        <v/>
      </c>
      <c r="AT17" s="75" t="str">
        <f aca="false">IF(AND(AT$5&gt;$F17,AT$5&lt;=$G17),IF($K17="Sí",2,1),IF(AND($D17=0,AT$5=$G17),3,""))</f>
        <v/>
      </c>
      <c r="AU17" s="75" t="str">
        <f aca="false">IF(AND(AU$5&gt;$F17,AU$5&lt;=$G17),IF($K17="Sí",2,1),IF(AND($D17=0,AU$5=$G17),3,""))</f>
        <v/>
      </c>
      <c r="AV17" s="75" t="str">
        <f aca="false">IF(AND(AV$5&gt;$F17,AV$5&lt;=$G17),IF($K17="Sí",2,1),IF(AND($D17=0,AV$5=$G17),3,""))</f>
        <v/>
      </c>
      <c r="AW17" s="75" t="str">
        <f aca="false">IF(AND(AW$5&gt;$F17,AW$5&lt;=$G17),IF($K17="Sí",2,1),IF(AND($D17=0,AW$5=$G17),3,""))</f>
        <v/>
      </c>
      <c r="AX17" s="75" t="str">
        <f aca="false">IF(AND(AX$5&gt;$F17,AX$5&lt;=$G17),IF($K17="Sí",2,1),IF(AND($D17=0,AX$5=$G17),3,""))</f>
        <v/>
      </c>
      <c r="AY17" s="75" t="str">
        <f aca="false">IF(AND(AY$5&gt;$F17,AY$5&lt;=$G17),IF($K17="Sí",2,1),IF(AND($D17=0,AY$5=$G17),3,""))</f>
        <v/>
      </c>
      <c r="AZ17" s="75" t="str">
        <f aca="false">IF(AND(AZ$5&gt;$F17,AZ$5&lt;=$G17),IF($K17="Sí",2,1),IF(AND($D17=0,AZ$5=$G17),3,""))</f>
        <v/>
      </c>
      <c r="BA17" s="75" t="str">
        <f aca="false">IF(AND(BA$5&gt;$F17,BA$5&lt;=$G17),IF($K17="Sí",2,1),IF(AND($D17=0,BA$5=$G17),3,""))</f>
        <v/>
      </c>
      <c r="BB17" s="75" t="str">
        <f aca="false">IF(AND(BB$5&gt;$F17,BB$5&lt;=$G17),IF($K17="Sí",2,1),IF(AND($D17=0,BB$5=$G17),3,""))</f>
        <v/>
      </c>
      <c r="BC17" s="75" t="str">
        <f aca="false">IF(AND(BC$5&gt;$F17,BC$5&lt;=$G17),IF($K17="Sí",2,1),IF(AND($D17=0,BC$5=$G17),3,""))</f>
        <v/>
      </c>
      <c r="BD17" s="75" t="str">
        <f aca="false">IF(AND(BD$5&gt;$F17,BD$5&lt;=$G17),IF($K17="Sí",2,1),IF(AND($D17=0,BD$5=$G17),3,""))</f>
        <v/>
      </c>
      <c r="BE17" s="75" t="str">
        <f aca="false">IF(AND(BE$5&gt;$F17,BE$5&lt;=$G17),IF($K17="Sí",2,1),IF(AND($D17=0,BE$5=$G17),3,""))</f>
        <v/>
      </c>
      <c r="BF17" s="75" t="str">
        <f aca="false">IF(AND(BF$5&gt;$F17,BF$5&lt;=$G17),IF($K17="Sí",2,1),IF(AND($D17=0,BF$5=$G17),3,""))</f>
        <v/>
      </c>
      <c r="BG17" s="75" t="str">
        <f aca="false">IF(AND(BG$5&gt;$F17,BG$5&lt;=$G17),IF($K17="Sí",2,1),IF(AND($D17=0,BG$5=$G17),3,""))</f>
        <v/>
      </c>
      <c r="BH17" s="75" t="str">
        <f aca="false">IF(AND(BH$5&gt;$F17,BH$5&lt;=$G17),IF($K17="Sí",2,1),IF(AND($D17=0,BH$5=$G17),3,""))</f>
        <v/>
      </c>
      <c r="BI17" s="75" t="str">
        <f aca="false">IF(AND(BI$5&gt;$F17,BI$5&lt;=$G17),IF($K17="Sí",2,1),IF(AND($D17=0,BI$5=$G17),3,""))</f>
        <v/>
      </c>
      <c r="BJ17" s="75" t="str">
        <f aca="false">IF(AND(BJ$5&gt;$F17,BJ$5&lt;=$G17),IF($K17="Sí",2,1),IF(AND($D17=0,BJ$5=$G17),3,""))</f>
        <v/>
      </c>
      <c r="BK17" s="75" t="str">
        <f aca="false">IF(AND(BK$5&gt;$F17,BK$5&lt;=$G17),IF($K17="Sí",2,1),IF(AND($D17=0,BK$5=$G17),3,""))</f>
        <v/>
      </c>
      <c r="BL17" s="75" t="str">
        <f aca="false">IF(AND(BL$5&gt;$F17,BL$5&lt;=$G17),IF($K17="Sí",2,1),IF(AND($D17=0,BL$5=$G17),3,""))</f>
        <v/>
      </c>
      <c r="BM17" s="75" t="str">
        <f aca="false">IF(AND(BM$5&gt;$F17,BM$5&lt;=$G17),IF($K17="Sí",2,1),IF(AND($D17=0,BM$5=$G17),3,""))</f>
        <v/>
      </c>
      <c r="BN17" s="75" t="str">
        <f aca="false">IF(AND(BN$5&gt;$F17,BN$5&lt;=$G17),IF($K17="Sí",2,1),IF(AND($D17=0,BN$5=$G17),3,""))</f>
        <v/>
      </c>
      <c r="BO17" s="75" t="str">
        <f aca="false">IF(AND(BO$5&gt;$F17,BO$5&lt;=$G17),IF($K17="Sí",2,1),IF(AND($D17=0,BO$5=$G17),3,""))</f>
        <v/>
      </c>
      <c r="BQ17" s="59" t="n">
        <v>0</v>
      </c>
      <c r="BR17" s="59" t="n">
        <v>0</v>
      </c>
      <c r="BS17" s="59" t="n">
        <v>0</v>
      </c>
      <c r="BT17" s="59" t="n">
        <v>0</v>
      </c>
      <c r="BU17" s="59" t="n">
        <v>0</v>
      </c>
      <c r="BV17" s="59" t="n">
        <v>160</v>
      </c>
      <c r="BW17" s="76" t="n">
        <f aca="false">L17-160</f>
        <v>0</v>
      </c>
      <c r="BX17" s="77" t="n">
        <f aca="false">IF($D17=0,0,BQ17/$D17)</f>
        <v>0</v>
      </c>
      <c r="BY17" s="77" t="n">
        <f aca="false">IF($D17=0,0,BR17/$D17)</f>
        <v>0</v>
      </c>
      <c r="BZ17" s="77" t="n">
        <f aca="false">IF($D17=0,0,BS17/$D17)</f>
        <v>0</v>
      </c>
      <c r="CA17" s="77" t="n">
        <f aca="false">IF($D17=0,0,BT17/$D17)</f>
        <v>0</v>
      </c>
      <c r="CB17" s="77" t="n">
        <f aca="false">IF($D17=0,0,BU17/$D17)</f>
        <v>0</v>
      </c>
      <c r="CC17" s="77" t="n">
        <f aca="false">IF($D17=0,0,BV17/$D17)</f>
        <v>40</v>
      </c>
    </row>
    <row r="18" customFormat="false" ht="15" hidden="false" customHeight="true" outlineLevel="0" collapsed="false">
      <c r="A18" s="7" t="s">
        <v>1407</v>
      </c>
      <c r="B18" s="7" t="s">
        <v>1408</v>
      </c>
      <c r="C18" s="7" t="s">
        <v>1397</v>
      </c>
      <c r="D18" s="30" t="n">
        <v>12</v>
      </c>
      <c r="E18" s="7" t="s">
        <v>1398</v>
      </c>
      <c r="F18" s="32" t="n">
        <f aca="false">MAX(G14)+Q18</f>
        <v>14</v>
      </c>
      <c r="G18" s="32" t="n">
        <f aca="false">F18+D18</f>
        <v>26</v>
      </c>
      <c r="H18" s="32" t="n">
        <f aca="false">I18-D18</f>
        <v>15</v>
      </c>
      <c r="I18" s="32" t="n">
        <f aca="false">MIN(H29)</f>
        <v>27</v>
      </c>
      <c r="J18" s="32" t="n">
        <f aca="false">H18-F18</f>
        <v>1</v>
      </c>
      <c r="K18" s="71" t="str">
        <f aca="false">IF(J18=0,"Sí","")</f>
        <v/>
      </c>
      <c r="L18" s="72" t="n">
        <f aca="false">SUM(BQ18:BV18)</f>
        <v>560</v>
      </c>
      <c r="M18" s="33" t="n">
        <f aca="false">SUMIFS(Cotizaciones!$J$5:$J$70,Cotizaciones!$C$5:$C$70,A18)</f>
        <v>0</v>
      </c>
      <c r="N18" s="32" t="n">
        <f aca="false">(L18*Supuestos!$B$47+M18*(1+Supuestos!$B$50))*(1+Supuestos!$B$51)/(1-Supuestos!$B$52)</f>
        <v>90971659.9190283</v>
      </c>
      <c r="O18" s="73" t="n">
        <f aca="false">$C$3+F18*7</f>
        <v>46496</v>
      </c>
      <c r="P18" s="73" t="n">
        <f aca="false">$C$3+G18*7-IF(D18&gt;0,1,0)</f>
        <v>46579</v>
      </c>
      <c r="Q18" s="74" t="n">
        <v>0</v>
      </c>
      <c r="R18" s="75" t="str">
        <f aca="false">IF(AND(R$5&gt;$F18,R$5&lt;=$G18),IF($K18="Sí",2,1),IF(AND($D18=0,R$5=$G18),3,""))</f>
        <v/>
      </c>
      <c r="S18" s="75" t="str">
        <f aca="false">IF(AND(S$5&gt;$F18,S$5&lt;=$G18),IF($K18="Sí",2,1),IF(AND($D18=0,S$5=$G18),3,""))</f>
        <v/>
      </c>
      <c r="T18" s="75" t="str">
        <f aca="false">IF(AND(T$5&gt;$F18,T$5&lt;=$G18),IF($K18="Sí",2,1),IF(AND($D18=0,T$5=$G18),3,""))</f>
        <v/>
      </c>
      <c r="U18" s="75" t="str">
        <f aca="false">IF(AND(U$5&gt;$F18,U$5&lt;=$G18),IF($K18="Sí",2,1),IF(AND($D18=0,U$5=$G18),3,""))</f>
        <v/>
      </c>
      <c r="V18" s="75" t="str">
        <f aca="false">IF(AND(V$5&gt;$F18,V$5&lt;=$G18),IF($K18="Sí",2,1),IF(AND($D18=0,V$5=$G18),3,""))</f>
        <v/>
      </c>
      <c r="W18" s="75" t="str">
        <f aca="false">IF(AND(W$5&gt;$F18,W$5&lt;=$G18),IF($K18="Sí",2,1),IF(AND($D18=0,W$5=$G18),3,""))</f>
        <v/>
      </c>
      <c r="X18" s="75" t="str">
        <f aca="false">IF(AND(X$5&gt;$F18,X$5&lt;=$G18),IF($K18="Sí",2,1),IF(AND($D18=0,X$5=$G18),3,""))</f>
        <v/>
      </c>
      <c r="Y18" s="75" t="str">
        <f aca="false">IF(AND(Y$5&gt;$F18,Y$5&lt;=$G18),IF($K18="Sí",2,1),IF(AND($D18=0,Y$5=$G18),3,""))</f>
        <v/>
      </c>
      <c r="Z18" s="75" t="str">
        <f aca="false">IF(AND(Z$5&gt;$F18,Z$5&lt;=$G18),IF($K18="Sí",2,1),IF(AND($D18=0,Z$5=$G18),3,""))</f>
        <v/>
      </c>
      <c r="AA18" s="75" t="str">
        <f aca="false">IF(AND(AA$5&gt;$F18,AA$5&lt;=$G18),IF($K18="Sí",2,1),IF(AND($D18=0,AA$5=$G18),3,""))</f>
        <v/>
      </c>
      <c r="AB18" s="75" t="str">
        <f aca="false">IF(AND(AB$5&gt;$F18,AB$5&lt;=$G18),IF($K18="Sí",2,1),IF(AND($D18=0,AB$5=$G18),3,""))</f>
        <v/>
      </c>
      <c r="AC18" s="75" t="str">
        <f aca="false">IF(AND(AC$5&gt;$F18,AC$5&lt;=$G18),IF($K18="Sí",2,1),IF(AND($D18=0,AC$5=$G18),3,""))</f>
        <v/>
      </c>
      <c r="AD18" s="75" t="str">
        <f aca="false">IF(AND(AD$5&gt;$F18,AD$5&lt;=$G18),IF($K18="Sí",2,1),IF(AND($D18=0,AD$5=$G18),3,""))</f>
        <v/>
      </c>
      <c r="AE18" s="75" t="str">
        <f aca="false">IF(AND(AE$5&gt;$F18,AE$5&lt;=$G18),IF($K18="Sí",2,1),IF(AND($D18=0,AE$5=$G18),3,""))</f>
        <v/>
      </c>
      <c r="AF18" s="75" t="n">
        <f aca="false">IF(AND(AF$5&gt;$F18,AF$5&lt;=$G18),IF($K18="Sí",2,1),IF(AND($D18=0,AF$5=$G18),3,""))</f>
        <v>1</v>
      </c>
      <c r="AG18" s="75" t="n">
        <f aca="false">IF(AND(AG$5&gt;$F18,AG$5&lt;=$G18),IF($K18="Sí",2,1),IF(AND($D18=0,AG$5=$G18),3,""))</f>
        <v>1</v>
      </c>
      <c r="AH18" s="75" t="n">
        <f aca="false">IF(AND(AH$5&gt;$F18,AH$5&lt;=$G18),IF($K18="Sí",2,1),IF(AND($D18=0,AH$5=$G18),3,""))</f>
        <v>1</v>
      </c>
      <c r="AI18" s="75" t="n">
        <f aca="false">IF(AND(AI$5&gt;$F18,AI$5&lt;=$G18),IF($K18="Sí",2,1),IF(AND($D18=0,AI$5=$G18),3,""))</f>
        <v>1</v>
      </c>
      <c r="AJ18" s="75" t="n">
        <f aca="false">IF(AND(AJ$5&gt;$F18,AJ$5&lt;=$G18),IF($K18="Sí",2,1),IF(AND($D18=0,AJ$5=$G18),3,""))</f>
        <v>1</v>
      </c>
      <c r="AK18" s="75" t="n">
        <f aca="false">IF(AND(AK$5&gt;$F18,AK$5&lt;=$G18),IF($K18="Sí",2,1),IF(AND($D18=0,AK$5=$G18),3,""))</f>
        <v>1</v>
      </c>
      <c r="AL18" s="75" t="n">
        <f aca="false">IF(AND(AL$5&gt;$F18,AL$5&lt;=$G18),IF($K18="Sí",2,1),IF(AND($D18=0,AL$5=$G18),3,""))</f>
        <v>1</v>
      </c>
      <c r="AM18" s="75" t="n">
        <f aca="false">IF(AND(AM$5&gt;$F18,AM$5&lt;=$G18),IF($K18="Sí",2,1),IF(AND($D18=0,AM$5=$G18),3,""))</f>
        <v>1</v>
      </c>
      <c r="AN18" s="75" t="n">
        <f aca="false">IF(AND(AN$5&gt;$F18,AN$5&lt;=$G18),IF($K18="Sí",2,1),IF(AND($D18=0,AN$5=$G18),3,""))</f>
        <v>1</v>
      </c>
      <c r="AO18" s="75" t="n">
        <f aca="false">IF(AND(AO$5&gt;$F18,AO$5&lt;=$G18),IF($K18="Sí",2,1),IF(AND($D18=0,AO$5=$G18),3,""))</f>
        <v>1</v>
      </c>
      <c r="AP18" s="75" t="n">
        <f aca="false">IF(AND(AP$5&gt;$F18,AP$5&lt;=$G18),IF($K18="Sí",2,1),IF(AND($D18=0,AP$5=$G18),3,""))</f>
        <v>1</v>
      </c>
      <c r="AQ18" s="75" t="n">
        <f aca="false">IF(AND(AQ$5&gt;$F18,AQ$5&lt;=$G18),IF($K18="Sí",2,1),IF(AND($D18=0,AQ$5=$G18),3,""))</f>
        <v>1</v>
      </c>
      <c r="AR18" s="75" t="str">
        <f aca="false">IF(AND(AR$5&gt;$F18,AR$5&lt;=$G18),IF($K18="Sí",2,1),IF(AND($D18=0,AR$5=$G18),3,""))</f>
        <v/>
      </c>
      <c r="AS18" s="75" t="str">
        <f aca="false">IF(AND(AS$5&gt;$F18,AS$5&lt;=$G18),IF($K18="Sí",2,1),IF(AND($D18=0,AS$5=$G18),3,""))</f>
        <v/>
      </c>
      <c r="AT18" s="75" t="str">
        <f aca="false">IF(AND(AT$5&gt;$F18,AT$5&lt;=$G18),IF($K18="Sí",2,1),IF(AND($D18=0,AT$5=$G18),3,""))</f>
        <v/>
      </c>
      <c r="AU18" s="75" t="str">
        <f aca="false">IF(AND(AU$5&gt;$F18,AU$5&lt;=$G18),IF($K18="Sí",2,1),IF(AND($D18=0,AU$5=$G18),3,""))</f>
        <v/>
      </c>
      <c r="AV18" s="75" t="str">
        <f aca="false">IF(AND(AV$5&gt;$F18,AV$5&lt;=$G18),IF($K18="Sí",2,1),IF(AND($D18=0,AV$5=$G18),3,""))</f>
        <v/>
      </c>
      <c r="AW18" s="75" t="str">
        <f aca="false">IF(AND(AW$5&gt;$F18,AW$5&lt;=$G18),IF($K18="Sí",2,1),IF(AND($D18=0,AW$5=$G18),3,""))</f>
        <v/>
      </c>
      <c r="AX18" s="75" t="str">
        <f aca="false">IF(AND(AX$5&gt;$F18,AX$5&lt;=$G18),IF($K18="Sí",2,1),IF(AND($D18=0,AX$5=$G18),3,""))</f>
        <v/>
      </c>
      <c r="AY18" s="75" t="str">
        <f aca="false">IF(AND(AY$5&gt;$F18,AY$5&lt;=$G18),IF($K18="Sí",2,1),IF(AND($D18=0,AY$5=$G18),3,""))</f>
        <v/>
      </c>
      <c r="AZ18" s="75" t="str">
        <f aca="false">IF(AND(AZ$5&gt;$F18,AZ$5&lt;=$G18),IF($K18="Sí",2,1),IF(AND($D18=0,AZ$5=$G18),3,""))</f>
        <v/>
      </c>
      <c r="BA18" s="75" t="str">
        <f aca="false">IF(AND(BA$5&gt;$F18,BA$5&lt;=$G18),IF($K18="Sí",2,1),IF(AND($D18=0,BA$5=$G18),3,""))</f>
        <v/>
      </c>
      <c r="BB18" s="75" t="str">
        <f aca="false">IF(AND(BB$5&gt;$F18,BB$5&lt;=$G18),IF($K18="Sí",2,1),IF(AND($D18=0,BB$5=$G18),3,""))</f>
        <v/>
      </c>
      <c r="BC18" s="75" t="str">
        <f aca="false">IF(AND(BC$5&gt;$F18,BC$5&lt;=$G18),IF($K18="Sí",2,1),IF(AND($D18=0,BC$5=$G18),3,""))</f>
        <v/>
      </c>
      <c r="BD18" s="75" t="str">
        <f aca="false">IF(AND(BD$5&gt;$F18,BD$5&lt;=$G18),IF($K18="Sí",2,1),IF(AND($D18=0,BD$5=$G18),3,""))</f>
        <v/>
      </c>
      <c r="BE18" s="75" t="str">
        <f aca="false">IF(AND(BE$5&gt;$F18,BE$5&lt;=$G18),IF($K18="Sí",2,1),IF(AND($D18=0,BE$5=$G18),3,""))</f>
        <v/>
      </c>
      <c r="BF18" s="75" t="str">
        <f aca="false">IF(AND(BF$5&gt;$F18,BF$5&lt;=$G18),IF($K18="Sí",2,1),IF(AND($D18=0,BF$5=$G18),3,""))</f>
        <v/>
      </c>
      <c r="BG18" s="75" t="str">
        <f aca="false">IF(AND(BG$5&gt;$F18,BG$5&lt;=$G18),IF($K18="Sí",2,1),IF(AND($D18=0,BG$5=$G18),3,""))</f>
        <v/>
      </c>
      <c r="BH18" s="75" t="str">
        <f aca="false">IF(AND(BH$5&gt;$F18,BH$5&lt;=$G18),IF($K18="Sí",2,1),IF(AND($D18=0,BH$5=$G18),3,""))</f>
        <v/>
      </c>
      <c r="BI18" s="75" t="str">
        <f aca="false">IF(AND(BI$5&gt;$F18,BI$5&lt;=$G18),IF($K18="Sí",2,1),IF(AND($D18=0,BI$5=$G18),3,""))</f>
        <v/>
      </c>
      <c r="BJ18" s="75" t="str">
        <f aca="false">IF(AND(BJ$5&gt;$F18,BJ$5&lt;=$G18),IF($K18="Sí",2,1),IF(AND($D18=0,BJ$5=$G18),3,""))</f>
        <v/>
      </c>
      <c r="BK18" s="75" t="str">
        <f aca="false">IF(AND(BK$5&gt;$F18,BK$5&lt;=$G18),IF($K18="Sí",2,1),IF(AND($D18=0,BK$5=$G18),3,""))</f>
        <v/>
      </c>
      <c r="BL18" s="75" t="str">
        <f aca="false">IF(AND(BL$5&gt;$F18,BL$5&lt;=$G18),IF($K18="Sí",2,1),IF(AND($D18=0,BL$5=$G18),3,""))</f>
        <v/>
      </c>
      <c r="BM18" s="75" t="str">
        <f aca="false">IF(AND(BM$5&gt;$F18,BM$5&lt;=$G18),IF($K18="Sí",2,1),IF(AND($D18=0,BM$5=$G18),3,""))</f>
        <v/>
      </c>
      <c r="BN18" s="75" t="str">
        <f aca="false">IF(AND(BN$5&gt;$F18,BN$5&lt;=$G18),IF($K18="Sí",2,1),IF(AND($D18=0,BN$5=$G18),3,""))</f>
        <v/>
      </c>
      <c r="BO18" s="75" t="str">
        <f aca="false">IF(AND(BO$5&gt;$F18,BO$5&lt;=$G18),IF($K18="Sí",2,1),IF(AND($D18=0,BO$5=$G18),3,""))</f>
        <v/>
      </c>
      <c r="BQ18" s="59" t="n">
        <v>0</v>
      </c>
      <c r="BR18" s="59" t="n">
        <v>148</v>
      </c>
      <c r="BS18" s="59" t="n">
        <v>0</v>
      </c>
      <c r="BT18" s="59" t="n">
        <v>0</v>
      </c>
      <c r="BU18" s="59" t="n">
        <v>412</v>
      </c>
      <c r="BV18" s="59" t="n">
        <v>0</v>
      </c>
      <c r="BW18" s="76" t="n">
        <f aca="false">L18-560</f>
        <v>0</v>
      </c>
      <c r="BX18" s="77" t="n">
        <f aca="false">IF($D18=0,0,BQ18/$D18)</f>
        <v>0</v>
      </c>
      <c r="BY18" s="77" t="n">
        <f aca="false">IF($D18=0,0,BR18/$D18)</f>
        <v>12.3333333333333</v>
      </c>
      <c r="BZ18" s="77" t="n">
        <f aca="false">IF($D18=0,0,BS18/$D18)</f>
        <v>0</v>
      </c>
      <c r="CA18" s="77" t="n">
        <f aca="false">IF($D18=0,0,BT18/$D18)</f>
        <v>0</v>
      </c>
      <c r="CB18" s="77" t="n">
        <f aca="false">IF($D18=0,0,BU18/$D18)</f>
        <v>34.3333333333333</v>
      </c>
      <c r="CC18" s="77" t="n">
        <f aca="false">IF($D18=0,0,BV18/$D18)</f>
        <v>0</v>
      </c>
    </row>
    <row r="19" customFormat="false" ht="15" hidden="false" customHeight="true" outlineLevel="0" collapsed="false">
      <c r="A19" s="7" t="s">
        <v>1409</v>
      </c>
      <c r="B19" s="7" t="s">
        <v>1410</v>
      </c>
      <c r="C19" s="7" t="s">
        <v>1406</v>
      </c>
      <c r="D19" s="30" t="n">
        <v>10</v>
      </c>
      <c r="E19" s="7" t="s">
        <v>1398</v>
      </c>
      <c r="F19" s="32" t="n">
        <f aca="false">MAX(G14)+Q19</f>
        <v>16</v>
      </c>
      <c r="G19" s="32" t="n">
        <f aca="false">F19+D19</f>
        <v>26</v>
      </c>
      <c r="H19" s="32" t="n">
        <f aca="false">I19-D19</f>
        <v>17</v>
      </c>
      <c r="I19" s="32" t="n">
        <f aca="false">MIN(H29)</f>
        <v>27</v>
      </c>
      <c r="J19" s="32" t="n">
        <f aca="false">H19-F19</f>
        <v>1</v>
      </c>
      <c r="K19" s="71" t="str">
        <f aca="false">IF(J19=0,"Sí","")</f>
        <v/>
      </c>
      <c r="L19" s="72" t="n">
        <f aca="false">SUM(BQ19:BV19)</f>
        <v>400</v>
      </c>
      <c r="M19" s="33" t="n">
        <f aca="false">SUMIFS(Cotizaciones!$J$5:$J$70,Cotizaciones!$C$5:$C$70,A19)</f>
        <v>0</v>
      </c>
      <c r="N19" s="32" t="n">
        <f aca="false">(L19*Supuestos!$B$47+M19*(1+Supuestos!$B$50))*(1+Supuestos!$B$51)/(1-Supuestos!$B$52)</f>
        <v>64979757.0850203</v>
      </c>
      <c r="O19" s="73" t="n">
        <f aca="false">$C$3+F19*7</f>
        <v>46510</v>
      </c>
      <c r="P19" s="73" t="n">
        <f aca="false">$C$3+G19*7-IF(D19&gt;0,1,0)</f>
        <v>46579</v>
      </c>
      <c r="Q19" s="74" t="n">
        <v>2</v>
      </c>
      <c r="R19" s="75" t="str">
        <f aca="false">IF(AND(R$5&gt;$F19,R$5&lt;=$G19),IF($K19="Sí",2,1),IF(AND($D19=0,R$5=$G19),3,""))</f>
        <v/>
      </c>
      <c r="S19" s="75" t="str">
        <f aca="false">IF(AND(S$5&gt;$F19,S$5&lt;=$G19),IF($K19="Sí",2,1),IF(AND($D19=0,S$5=$G19),3,""))</f>
        <v/>
      </c>
      <c r="T19" s="75" t="str">
        <f aca="false">IF(AND(T$5&gt;$F19,T$5&lt;=$G19),IF($K19="Sí",2,1),IF(AND($D19=0,T$5=$G19),3,""))</f>
        <v/>
      </c>
      <c r="U19" s="75" t="str">
        <f aca="false">IF(AND(U$5&gt;$F19,U$5&lt;=$G19),IF($K19="Sí",2,1),IF(AND($D19=0,U$5=$G19),3,""))</f>
        <v/>
      </c>
      <c r="V19" s="75" t="str">
        <f aca="false">IF(AND(V$5&gt;$F19,V$5&lt;=$G19),IF($K19="Sí",2,1),IF(AND($D19=0,V$5=$G19),3,""))</f>
        <v/>
      </c>
      <c r="W19" s="75" t="str">
        <f aca="false">IF(AND(W$5&gt;$F19,W$5&lt;=$G19),IF($K19="Sí",2,1),IF(AND($D19=0,W$5=$G19),3,""))</f>
        <v/>
      </c>
      <c r="X19" s="75" t="str">
        <f aca="false">IF(AND(X$5&gt;$F19,X$5&lt;=$G19),IF($K19="Sí",2,1),IF(AND($D19=0,X$5=$G19),3,""))</f>
        <v/>
      </c>
      <c r="Y19" s="75" t="str">
        <f aca="false">IF(AND(Y$5&gt;$F19,Y$5&lt;=$G19),IF($K19="Sí",2,1),IF(AND($D19=0,Y$5=$G19),3,""))</f>
        <v/>
      </c>
      <c r="Z19" s="75" t="str">
        <f aca="false">IF(AND(Z$5&gt;$F19,Z$5&lt;=$G19),IF($K19="Sí",2,1),IF(AND($D19=0,Z$5=$G19),3,""))</f>
        <v/>
      </c>
      <c r="AA19" s="75" t="str">
        <f aca="false">IF(AND(AA$5&gt;$F19,AA$5&lt;=$G19),IF($K19="Sí",2,1),IF(AND($D19=0,AA$5=$G19),3,""))</f>
        <v/>
      </c>
      <c r="AB19" s="75" t="str">
        <f aca="false">IF(AND(AB$5&gt;$F19,AB$5&lt;=$G19),IF($K19="Sí",2,1),IF(AND($D19=0,AB$5=$G19),3,""))</f>
        <v/>
      </c>
      <c r="AC19" s="75" t="str">
        <f aca="false">IF(AND(AC$5&gt;$F19,AC$5&lt;=$G19),IF($K19="Sí",2,1),IF(AND($D19=0,AC$5=$G19),3,""))</f>
        <v/>
      </c>
      <c r="AD19" s="75" t="str">
        <f aca="false">IF(AND(AD$5&gt;$F19,AD$5&lt;=$G19),IF($K19="Sí",2,1),IF(AND($D19=0,AD$5=$G19),3,""))</f>
        <v/>
      </c>
      <c r="AE19" s="75" t="str">
        <f aca="false">IF(AND(AE$5&gt;$F19,AE$5&lt;=$G19),IF($K19="Sí",2,1),IF(AND($D19=0,AE$5=$G19),3,""))</f>
        <v/>
      </c>
      <c r="AF19" s="75" t="str">
        <f aca="false">IF(AND(AF$5&gt;$F19,AF$5&lt;=$G19),IF($K19="Sí",2,1),IF(AND($D19=0,AF$5=$G19),3,""))</f>
        <v/>
      </c>
      <c r="AG19" s="75" t="str">
        <f aca="false">IF(AND(AG$5&gt;$F19,AG$5&lt;=$G19),IF($K19="Sí",2,1),IF(AND($D19=0,AG$5=$G19),3,""))</f>
        <v/>
      </c>
      <c r="AH19" s="75" t="n">
        <f aca="false">IF(AND(AH$5&gt;$F19,AH$5&lt;=$G19),IF($K19="Sí",2,1),IF(AND($D19=0,AH$5=$G19),3,""))</f>
        <v>1</v>
      </c>
      <c r="AI19" s="75" t="n">
        <f aca="false">IF(AND(AI$5&gt;$F19,AI$5&lt;=$G19),IF($K19="Sí",2,1),IF(AND($D19=0,AI$5=$G19),3,""))</f>
        <v>1</v>
      </c>
      <c r="AJ19" s="75" t="n">
        <f aca="false">IF(AND(AJ$5&gt;$F19,AJ$5&lt;=$G19),IF($K19="Sí",2,1),IF(AND($D19=0,AJ$5=$G19),3,""))</f>
        <v>1</v>
      </c>
      <c r="AK19" s="75" t="n">
        <f aca="false">IF(AND(AK$5&gt;$F19,AK$5&lt;=$G19),IF($K19="Sí",2,1),IF(AND($D19=0,AK$5=$G19),3,""))</f>
        <v>1</v>
      </c>
      <c r="AL19" s="75" t="n">
        <f aca="false">IF(AND(AL$5&gt;$F19,AL$5&lt;=$G19),IF($K19="Sí",2,1),IF(AND($D19=0,AL$5=$G19),3,""))</f>
        <v>1</v>
      </c>
      <c r="AM19" s="75" t="n">
        <f aca="false">IF(AND(AM$5&gt;$F19,AM$5&lt;=$G19),IF($K19="Sí",2,1),IF(AND($D19=0,AM$5=$G19),3,""))</f>
        <v>1</v>
      </c>
      <c r="AN19" s="75" t="n">
        <f aca="false">IF(AND(AN$5&gt;$F19,AN$5&lt;=$G19),IF($K19="Sí",2,1),IF(AND($D19=0,AN$5=$G19),3,""))</f>
        <v>1</v>
      </c>
      <c r="AO19" s="75" t="n">
        <f aca="false">IF(AND(AO$5&gt;$F19,AO$5&lt;=$G19),IF($K19="Sí",2,1),IF(AND($D19=0,AO$5=$G19),3,""))</f>
        <v>1</v>
      </c>
      <c r="AP19" s="75" t="n">
        <f aca="false">IF(AND(AP$5&gt;$F19,AP$5&lt;=$G19),IF($K19="Sí",2,1),IF(AND($D19=0,AP$5=$G19),3,""))</f>
        <v>1</v>
      </c>
      <c r="AQ19" s="75" t="n">
        <f aca="false">IF(AND(AQ$5&gt;$F19,AQ$5&lt;=$G19),IF($K19="Sí",2,1),IF(AND($D19=0,AQ$5=$G19),3,""))</f>
        <v>1</v>
      </c>
      <c r="AR19" s="75" t="str">
        <f aca="false">IF(AND(AR$5&gt;$F19,AR$5&lt;=$G19),IF($K19="Sí",2,1),IF(AND($D19=0,AR$5=$G19),3,""))</f>
        <v/>
      </c>
      <c r="AS19" s="75" t="str">
        <f aca="false">IF(AND(AS$5&gt;$F19,AS$5&lt;=$G19),IF($K19="Sí",2,1),IF(AND($D19=0,AS$5=$G19),3,""))</f>
        <v/>
      </c>
      <c r="AT19" s="75" t="str">
        <f aca="false">IF(AND(AT$5&gt;$F19,AT$5&lt;=$G19),IF($K19="Sí",2,1),IF(AND($D19=0,AT$5=$G19),3,""))</f>
        <v/>
      </c>
      <c r="AU19" s="75" t="str">
        <f aca="false">IF(AND(AU$5&gt;$F19,AU$5&lt;=$G19),IF($K19="Sí",2,1),IF(AND($D19=0,AU$5=$G19),3,""))</f>
        <v/>
      </c>
      <c r="AV19" s="75" t="str">
        <f aca="false">IF(AND(AV$5&gt;$F19,AV$5&lt;=$G19),IF($K19="Sí",2,1),IF(AND($D19=0,AV$5=$G19),3,""))</f>
        <v/>
      </c>
      <c r="AW19" s="75" t="str">
        <f aca="false">IF(AND(AW$5&gt;$F19,AW$5&lt;=$G19),IF($K19="Sí",2,1),IF(AND($D19=0,AW$5=$G19),3,""))</f>
        <v/>
      </c>
      <c r="AX19" s="75" t="str">
        <f aca="false">IF(AND(AX$5&gt;$F19,AX$5&lt;=$G19),IF($K19="Sí",2,1),IF(AND($D19=0,AX$5=$G19),3,""))</f>
        <v/>
      </c>
      <c r="AY19" s="75" t="str">
        <f aca="false">IF(AND(AY$5&gt;$F19,AY$5&lt;=$G19),IF($K19="Sí",2,1),IF(AND($D19=0,AY$5=$G19),3,""))</f>
        <v/>
      </c>
      <c r="AZ19" s="75" t="str">
        <f aca="false">IF(AND(AZ$5&gt;$F19,AZ$5&lt;=$G19),IF($K19="Sí",2,1),IF(AND($D19=0,AZ$5=$G19),3,""))</f>
        <v/>
      </c>
      <c r="BA19" s="75" t="str">
        <f aca="false">IF(AND(BA$5&gt;$F19,BA$5&lt;=$G19),IF($K19="Sí",2,1),IF(AND($D19=0,BA$5=$G19),3,""))</f>
        <v/>
      </c>
      <c r="BB19" s="75" t="str">
        <f aca="false">IF(AND(BB$5&gt;$F19,BB$5&lt;=$G19),IF($K19="Sí",2,1),IF(AND($D19=0,BB$5=$G19),3,""))</f>
        <v/>
      </c>
      <c r="BC19" s="75" t="str">
        <f aca="false">IF(AND(BC$5&gt;$F19,BC$5&lt;=$G19),IF($K19="Sí",2,1),IF(AND($D19=0,BC$5=$G19),3,""))</f>
        <v/>
      </c>
      <c r="BD19" s="75" t="str">
        <f aca="false">IF(AND(BD$5&gt;$F19,BD$5&lt;=$G19),IF($K19="Sí",2,1),IF(AND($D19=0,BD$5=$G19),3,""))</f>
        <v/>
      </c>
      <c r="BE19" s="75" t="str">
        <f aca="false">IF(AND(BE$5&gt;$F19,BE$5&lt;=$G19),IF($K19="Sí",2,1),IF(AND($D19=0,BE$5=$G19),3,""))</f>
        <v/>
      </c>
      <c r="BF19" s="75" t="str">
        <f aca="false">IF(AND(BF$5&gt;$F19,BF$5&lt;=$G19),IF($K19="Sí",2,1),IF(AND($D19=0,BF$5=$G19),3,""))</f>
        <v/>
      </c>
      <c r="BG19" s="75" t="str">
        <f aca="false">IF(AND(BG$5&gt;$F19,BG$5&lt;=$G19),IF($K19="Sí",2,1),IF(AND($D19=0,BG$5=$G19),3,""))</f>
        <v/>
      </c>
      <c r="BH19" s="75" t="str">
        <f aca="false">IF(AND(BH$5&gt;$F19,BH$5&lt;=$G19),IF($K19="Sí",2,1),IF(AND($D19=0,BH$5=$G19),3,""))</f>
        <v/>
      </c>
      <c r="BI19" s="75" t="str">
        <f aca="false">IF(AND(BI$5&gt;$F19,BI$5&lt;=$G19),IF($K19="Sí",2,1),IF(AND($D19=0,BI$5=$G19),3,""))</f>
        <v/>
      </c>
      <c r="BJ19" s="75" t="str">
        <f aca="false">IF(AND(BJ$5&gt;$F19,BJ$5&lt;=$G19),IF($K19="Sí",2,1),IF(AND($D19=0,BJ$5=$G19),3,""))</f>
        <v/>
      </c>
      <c r="BK19" s="75" t="str">
        <f aca="false">IF(AND(BK$5&gt;$F19,BK$5&lt;=$G19),IF($K19="Sí",2,1),IF(AND($D19=0,BK$5=$G19),3,""))</f>
        <v/>
      </c>
      <c r="BL19" s="75" t="str">
        <f aca="false">IF(AND(BL$5&gt;$F19,BL$5&lt;=$G19),IF($K19="Sí",2,1),IF(AND($D19=0,BL$5=$G19),3,""))</f>
        <v/>
      </c>
      <c r="BM19" s="75" t="str">
        <f aca="false">IF(AND(BM$5&gt;$F19,BM$5&lt;=$G19),IF($K19="Sí",2,1),IF(AND($D19=0,BM$5=$G19),3,""))</f>
        <v/>
      </c>
      <c r="BN19" s="75" t="str">
        <f aca="false">IF(AND(BN$5&gt;$F19,BN$5&lt;=$G19),IF($K19="Sí",2,1),IF(AND($D19=0,BN$5=$G19),3,""))</f>
        <v/>
      </c>
      <c r="BO19" s="75" t="str">
        <f aca="false">IF(AND(BO$5&gt;$F19,BO$5&lt;=$G19),IF($K19="Sí",2,1),IF(AND($D19=0,BO$5=$G19),3,""))</f>
        <v/>
      </c>
      <c r="BQ19" s="59" t="n">
        <v>0</v>
      </c>
      <c r="BR19" s="59" t="n">
        <v>0</v>
      </c>
      <c r="BS19" s="59" t="n">
        <v>75</v>
      </c>
      <c r="BT19" s="59" t="n">
        <v>169</v>
      </c>
      <c r="BU19" s="59" t="n">
        <v>0</v>
      </c>
      <c r="BV19" s="59" t="n">
        <v>156</v>
      </c>
      <c r="BW19" s="76" t="n">
        <f aca="false">L19-400</f>
        <v>0</v>
      </c>
      <c r="BX19" s="77" t="n">
        <f aca="false">IF($D19=0,0,BQ19/$D19)</f>
        <v>0</v>
      </c>
      <c r="BY19" s="77" t="n">
        <f aca="false">IF($D19=0,0,BR19/$D19)</f>
        <v>0</v>
      </c>
      <c r="BZ19" s="77" t="n">
        <f aca="false">IF($D19=0,0,BS19/$D19)</f>
        <v>7.5</v>
      </c>
      <c r="CA19" s="77" t="n">
        <f aca="false">IF($D19=0,0,BT19/$D19)</f>
        <v>16.9</v>
      </c>
      <c r="CB19" s="77" t="n">
        <f aca="false">IF($D19=0,0,BU19/$D19)</f>
        <v>0</v>
      </c>
      <c r="CC19" s="77" t="n">
        <f aca="false">IF($D19=0,0,BV19/$D19)</f>
        <v>15.6</v>
      </c>
    </row>
    <row r="20" customFormat="false" ht="15" hidden="false" customHeight="true" outlineLevel="0" collapsed="false">
      <c r="A20" s="7" t="s">
        <v>1411</v>
      </c>
      <c r="B20" s="7" t="s">
        <v>1412</v>
      </c>
      <c r="C20" s="7" t="s">
        <v>1391</v>
      </c>
      <c r="D20" s="30" t="n">
        <v>14</v>
      </c>
      <c r="E20" s="7" t="s">
        <v>1398</v>
      </c>
      <c r="F20" s="32" t="n">
        <f aca="false">MAX(G14)+Q20</f>
        <v>17</v>
      </c>
      <c r="G20" s="32" t="n">
        <f aca="false">F20+D20</f>
        <v>31</v>
      </c>
      <c r="H20" s="32" t="n">
        <f aca="false">I20-D20</f>
        <v>19</v>
      </c>
      <c r="I20" s="32" t="n">
        <f aca="false">MIN(H31,H39)</f>
        <v>33</v>
      </c>
      <c r="J20" s="32" t="n">
        <f aca="false">H20-F20</f>
        <v>2</v>
      </c>
      <c r="K20" s="71" t="str">
        <f aca="false">IF(J20=0,"Sí","")</f>
        <v/>
      </c>
      <c r="L20" s="72" t="n">
        <f aca="false">SUM(BQ20:BV20)</f>
        <v>400</v>
      </c>
      <c r="M20" s="33" t="n">
        <f aca="false">SUMIFS(Cotizaciones!$J$5:$J$70,Cotizaciones!$C$5:$C$70,A20)</f>
        <v>0</v>
      </c>
      <c r="N20" s="32" t="n">
        <f aca="false">(L20*Supuestos!$B$47+M20*(1+Supuestos!$B$50))*(1+Supuestos!$B$51)/(1-Supuestos!$B$52)</f>
        <v>64979757.0850203</v>
      </c>
      <c r="O20" s="73" t="n">
        <f aca="false">$C$3+F20*7</f>
        <v>46517</v>
      </c>
      <c r="P20" s="73" t="n">
        <f aca="false">$C$3+G20*7-IF(D20&gt;0,1,0)</f>
        <v>46614</v>
      </c>
      <c r="Q20" s="74" t="n">
        <v>3</v>
      </c>
      <c r="R20" s="75" t="str">
        <f aca="false">IF(AND(R$5&gt;$F20,R$5&lt;=$G20),IF($K20="Sí",2,1),IF(AND($D20=0,R$5=$G20),3,""))</f>
        <v/>
      </c>
      <c r="S20" s="75" t="str">
        <f aca="false">IF(AND(S$5&gt;$F20,S$5&lt;=$G20),IF($K20="Sí",2,1),IF(AND($D20=0,S$5=$G20),3,""))</f>
        <v/>
      </c>
      <c r="T20" s="75" t="str">
        <f aca="false">IF(AND(T$5&gt;$F20,T$5&lt;=$G20),IF($K20="Sí",2,1),IF(AND($D20=0,T$5=$G20),3,""))</f>
        <v/>
      </c>
      <c r="U20" s="75" t="str">
        <f aca="false">IF(AND(U$5&gt;$F20,U$5&lt;=$G20),IF($K20="Sí",2,1),IF(AND($D20=0,U$5=$G20),3,""))</f>
        <v/>
      </c>
      <c r="V20" s="75" t="str">
        <f aca="false">IF(AND(V$5&gt;$F20,V$5&lt;=$G20),IF($K20="Sí",2,1),IF(AND($D20=0,V$5=$G20),3,""))</f>
        <v/>
      </c>
      <c r="W20" s="75" t="str">
        <f aca="false">IF(AND(W$5&gt;$F20,W$5&lt;=$G20),IF($K20="Sí",2,1),IF(AND($D20=0,W$5=$G20),3,""))</f>
        <v/>
      </c>
      <c r="X20" s="75" t="str">
        <f aca="false">IF(AND(X$5&gt;$F20,X$5&lt;=$G20),IF($K20="Sí",2,1),IF(AND($D20=0,X$5=$G20),3,""))</f>
        <v/>
      </c>
      <c r="Y20" s="75" t="str">
        <f aca="false">IF(AND(Y$5&gt;$F20,Y$5&lt;=$G20),IF($K20="Sí",2,1),IF(AND($D20=0,Y$5=$G20),3,""))</f>
        <v/>
      </c>
      <c r="Z20" s="75" t="str">
        <f aca="false">IF(AND(Z$5&gt;$F20,Z$5&lt;=$G20),IF($K20="Sí",2,1),IF(AND($D20=0,Z$5=$G20),3,""))</f>
        <v/>
      </c>
      <c r="AA20" s="75" t="str">
        <f aca="false">IF(AND(AA$5&gt;$F20,AA$5&lt;=$G20),IF($K20="Sí",2,1),IF(AND($D20=0,AA$5=$G20),3,""))</f>
        <v/>
      </c>
      <c r="AB20" s="75" t="str">
        <f aca="false">IF(AND(AB$5&gt;$F20,AB$5&lt;=$G20),IF($K20="Sí",2,1),IF(AND($D20=0,AB$5=$G20),3,""))</f>
        <v/>
      </c>
      <c r="AC20" s="75" t="str">
        <f aca="false">IF(AND(AC$5&gt;$F20,AC$5&lt;=$G20),IF($K20="Sí",2,1),IF(AND($D20=0,AC$5=$G20),3,""))</f>
        <v/>
      </c>
      <c r="AD20" s="75" t="str">
        <f aca="false">IF(AND(AD$5&gt;$F20,AD$5&lt;=$G20),IF($K20="Sí",2,1),IF(AND($D20=0,AD$5=$G20),3,""))</f>
        <v/>
      </c>
      <c r="AE20" s="75" t="str">
        <f aca="false">IF(AND(AE$5&gt;$F20,AE$5&lt;=$G20),IF($K20="Sí",2,1),IF(AND($D20=0,AE$5=$G20),3,""))</f>
        <v/>
      </c>
      <c r="AF20" s="75" t="str">
        <f aca="false">IF(AND(AF$5&gt;$F20,AF$5&lt;=$G20),IF($K20="Sí",2,1),IF(AND($D20=0,AF$5=$G20),3,""))</f>
        <v/>
      </c>
      <c r="AG20" s="75" t="str">
        <f aca="false">IF(AND(AG$5&gt;$F20,AG$5&lt;=$G20),IF($K20="Sí",2,1),IF(AND($D20=0,AG$5=$G20),3,""))</f>
        <v/>
      </c>
      <c r="AH20" s="75" t="str">
        <f aca="false">IF(AND(AH$5&gt;$F20,AH$5&lt;=$G20),IF($K20="Sí",2,1),IF(AND($D20=0,AH$5=$G20),3,""))</f>
        <v/>
      </c>
      <c r="AI20" s="75" t="n">
        <f aca="false">IF(AND(AI$5&gt;$F20,AI$5&lt;=$G20),IF($K20="Sí",2,1),IF(AND($D20=0,AI$5=$G20),3,""))</f>
        <v>1</v>
      </c>
      <c r="AJ20" s="75" t="n">
        <f aca="false">IF(AND(AJ$5&gt;$F20,AJ$5&lt;=$G20),IF($K20="Sí",2,1),IF(AND($D20=0,AJ$5=$G20),3,""))</f>
        <v>1</v>
      </c>
      <c r="AK20" s="75" t="n">
        <f aca="false">IF(AND(AK$5&gt;$F20,AK$5&lt;=$G20),IF($K20="Sí",2,1),IF(AND($D20=0,AK$5=$G20),3,""))</f>
        <v>1</v>
      </c>
      <c r="AL20" s="75" t="n">
        <f aca="false">IF(AND(AL$5&gt;$F20,AL$5&lt;=$G20),IF($K20="Sí",2,1),IF(AND($D20=0,AL$5=$G20),3,""))</f>
        <v>1</v>
      </c>
      <c r="AM20" s="75" t="n">
        <f aca="false">IF(AND(AM$5&gt;$F20,AM$5&lt;=$G20),IF($K20="Sí",2,1),IF(AND($D20=0,AM$5=$G20),3,""))</f>
        <v>1</v>
      </c>
      <c r="AN20" s="75" t="n">
        <f aca="false">IF(AND(AN$5&gt;$F20,AN$5&lt;=$G20),IF($K20="Sí",2,1),IF(AND($D20=0,AN$5=$G20),3,""))</f>
        <v>1</v>
      </c>
      <c r="AO20" s="75" t="n">
        <f aca="false">IF(AND(AO$5&gt;$F20,AO$5&lt;=$G20),IF($K20="Sí",2,1),IF(AND($D20=0,AO$5=$G20),3,""))</f>
        <v>1</v>
      </c>
      <c r="AP20" s="75" t="n">
        <f aca="false">IF(AND(AP$5&gt;$F20,AP$5&lt;=$G20),IF($K20="Sí",2,1),IF(AND($D20=0,AP$5=$G20),3,""))</f>
        <v>1</v>
      </c>
      <c r="AQ20" s="75" t="n">
        <f aca="false">IF(AND(AQ$5&gt;$F20,AQ$5&lt;=$G20),IF($K20="Sí",2,1),IF(AND($D20=0,AQ$5=$G20),3,""))</f>
        <v>1</v>
      </c>
      <c r="AR20" s="75" t="n">
        <f aca="false">IF(AND(AR$5&gt;$F20,AR$5&lt;=$G20),IF($K20="Sí",2,1),IF(AND($D20=0,AR$5=$G20),3,""))</f>
        <v>1</v>
      </c>
      <c r="AS20" s="75" t="n">
        <f aca="false">IF(AND(AS$5&gt;$F20,AS$5&lt;=$G20),IF($K20="Sí",2,1),IF(AND($D20=0,AS$5=$G20),3,""))</f>
        <v>1</v>
      </c>
      <c r="AT20" s="75" t="n">
        <f aca="false">IF(AND(AT$5&gt;$F20,AT$5&lt;=$G20),IF($K20="Sí",2,1),IF(AND($D20=0,AT$5=$G20),3,""))</f>
        <v>1</v>
      </c>
      <c r="AU20" s="75" t="n">
        <f aca="false">IF(AND(AU$5&gt;$F20,AU$5&lt;=$G20),IF($K20="Sí",2,1),IF(AND($D20=0,AU$5=$G20),3,""))</f>
        <v>1</v>
      </c>
      <c r="AV20" s="75" t="n">
        <f aca="false">IF(AND(AV$5&gt;$F20,AV$5&lt;=$G20),IF($K20="Sí",2,1),IF(AND($D20=0,AV$5=$G20),3,""))</f>
        <v>1</v>
      </c>
      <c r="AW20" s="75" t="str">
        <f aca="false">IF(AND(AW$5&gt;$F20,AW$5&lt;=$G20),IF($K20="Sí",2,1),IF(AND($D20=0,AW$5=$G20),3,""))</f>
        <v/>
      </c>
      <c r="AX20" s="75" t="str">
        <f aca="false">IF(AND(AX$5&gt;$F20,AX$5&lt;=$G20),IF($K20="Sí",2,1),IF(AND($D20=0,AX$5=$G20),3,""))</f>
        <v/>
      </c>
      <c r="AY20" s="75" t="str">
        <f aca="false">IF(AND(AY$5&gt;$F20,AY$5&lt;=$G20),IF($K20="Sí",2,1),IF(AND($D20=0,AY$5=$G20),3,""))</f>
        <v/>
      </c>
      <c r="AZ20" s="75" t="str">
        <f aca="false">IF(AND(AZ$5&gt;$F20,AZ$5&lt;=$G20),IF($K20="Sí",2,1),IF(AND($D20=0,AZ$5=$G20),3,""))</f>
        <v/>
      </c>
      <c r="BA20" s="75" t="str">
        <f aca="false">IF(AND(BA$5&gt;$F20,BA$5&lt;=$G20),IF($K20="Sí",2,1),IF(AND($D20=0,BA$5=$G20),3,""))</f>
        <v/>
      </c>
      <c r="BB20" s="75" t="str">
        <f aca="false">IF(AND(BB$5&gt;$F20,BB$5&lt;=$G20),IF($K20="Sí",2,1),IF(AND($D20=0,BB$5=$G20),3,""))</f>
        <v/>
      </c>
      <c r="BC20" s="75" t="str">
        <f aca="false">IF(AND(BC$5&gt;$F20,BC$5&lt;=$G20),IF($K20="Sí",2,1),IF(AND($D20=0,BC$5=$G20),3,""))</f>
        <v/>
      </c>
      <c r="BD20" s="75" t="str">
        <f aca="false">IF(AND(BD$5&gt;$F20,BD$5&lt;=$G20),IF($K20="Sí",2,1),IF(AND($D20=0,BD$5=$G20),3,""))</f>
        <v/>
      </c>
      <c r="BE20" s="75" t="str">
        <f aca="false">IF(AND(BE$5&gt;$F20,BE$5&lt;=$G20),IF($K20="Sí",2,1),IF(AND($D20=0,BE$5=$G20),3,""))</f>
        <v/>
      </c>
      <c r="BF20" s="75" t="str">
        <f aca="false">IF(AND(BF$5&gt;$F20,BF$5&lt;=$G20),IF($K20="Sí",2,1),IF(AND($D20=0,BF$5=$G20),3,""))</f>
        <v/>
      </c>
      <c r="BG20" s="75" t="str">
        <f aca="false">IF(AND(BG$5&gt;$F20,BG$5&lt;=$G20),IF($K20="Sí",2,1),IF(AND($D20=0,BG$5=$G20),3,""))</f>
        <v/>
      </c>
      <c r="BH20" s="75" t="str">
        <f aca="false">IF(AND(BH$5&gt;$F20,BH$5&lt;=$G20),IF($K20="Sí",2,1),IF(AND($D20=0,BH$5=$G20),3,""))</f>
        <v/>
      </c>
      <c r="BI20" s="75" t="str">
        <f aca="false">IF(AND(BI$5&gt;$F20,BI$5&lt;=$G20),IF($K20="Sí",2,1),IF(AND($D20=0,BI$5=$G20),3,""))</f>
        <v/>
      </c>
      <c r="BJ20" s="75" t="str">
        <f aca="false">IF(AND(BJ$5&gt;$F20,BJ$5&lt;=$G20),IF($K20="Sí",2,1),IF(AND($D20=0,BJ$5=$G20),3,""))</f>
        <v/>
      </c>
      <c r="BK20" s="75" t="str">
        <f aca="false">IF(AND(BK$5&gt;$F20,BK$5&lt;=$G20),IF($K20="Sí",2,1),IF(AND($D20=0,BK$5=$G20),3,""))</f>
        <v/>
      </c>
      <c r="BL20" s="75" t="str">
        <f aca="false">IF(AND(BL$5&gt;$F20,BL$5&lt;=$G20),IF($K20="Sí",2,1),IF(AND($D20=0,BL$5=$G20),3,""))</f>
        <v/>
      </c>
      <c r="BM20" s="75" t="str">
        <f aca="false">IF(AND(BM$5&gt;$F20,BM$5&lt;=$G20),IF($K20="Sí",2,1),IF(AND($D20=0,BM$5=$G20),3,""))</f>
        <v/>
      </c>
      <c r="BN20" s="75" t="str">
        <f aca="false">IF(AND(BN$5&gt;$F20,BN$5&lt;=$G20),IF($K20="Sí",2,1),IF(AND($D20=0,BN$5=$G20),3,""))</f>
        <v/>
      </c>
      <c r="BO20" s="75" t="str">
        <f aca="false">IF(AND(BO$5&gt;$F20,BO$5&lt;=$G20),IF($K20="Sí",2,1),IF(AND($D20=0,BO$5=$G20),3,""))</f>
        <v/>
      </c>
      <c r="BQ20" s="59" t="n">
        <v>0</v>
      </c>
      <c r="BR20" s="59" t="n">
        <v>400</v>
      </c>
      <c r="BS20" s="59" t="n">
        <v>0</v>
      </c>
      <c r="BT20" s="59" t="n">
        <v>0</v>
      </c>
      <c r="BU20" s="59" t="n">
        <v>0</v>
      </c>
      <c r="BV20" s="59" t="n">
        <v>0</v>
      </c>
      <c r="BW20" s="76" t="n">
        <f aca="false">L20-400</f>
        <v>0</v>
      </c>
      <c r="BX20" s="77" t="n">
        <f aca="false">IF($D20=0,0,BQ20/$D20)</f>
        <v>0</v>
      </c>
      <c r="BY20" s="77" t="n">
        <f aca="false">IF($D20=0,0,BR20/$D20)</f>
        <v>28.5714285714286</v>
      </c>
      <c r="BZ20" s="77" t="n">
        <f aca="false">IF($D20=0,0,BS20/$D20)</f>
        <v>0</v>
      </c>
      <c r="CA20" s="77" t="n">
        <f aca="false">IF($D20=0,0,BT20/$D20)</f>
        <v>0</v>
      </c>
      <c r="CB20" s="77" t="n">
        <f aca="false">IF($D20=0,0,BU20/$D20)</f>
        <v>0</v>
      </c>
      <c r="CC20" s="77" t="n">
        <f aca="false">IF($D20=0,0,BV20/$D20)</f>
        <v>0</v>
      </c>
    </row>
    <row r="21" customFormat="false" ht="15" hidden="false" customHeight="true" outlineLevel="0" collapsed="false">
      <c r="A21" s="7" t="s">
        <v>1413</v>
      </c>
      <c r="B21" s="7" t="s">
        <v>1414</v>
      </c>
      <c r="C21" s="7" t="s">
        <v>1397</v>
      </c>
      <c r="D21" s="30" t="n">
        <v>4</v>
      </c>
      <c r="E21" s="7" t="s">
        <v>1402</v>
      </c>
      <c r="F21" s="32" t="n">
        <f aca="false">MAX(G16)+Q21</f>
        <v>16</v>
      </c>
      <c r="G21" s="32" t="n">
        <f aca="false">F21+D21</f>
        <v>20</v>
      </c>
      <c r="H21" s="32" t="n">
        <f aca="false">I21-D21</f>
        <v>27</v>
      </c>
      <c r="I21" s="32" t="n">
        <f aca="false">MIN(H30)</f>
        <v>31</v>
      </c>
      <c r="J21" s="32" t="n">
        <f aca="false">H21-F21</f>
        <v>11</v>
      </c>
      <c r="K21" s="71" t="str">
        <f aca="false">IF(J21=0,"Sí","")</f>
        <v/>
      </c>
      <c r="L21" s="72" t="n">
        <f aca="false">SUM(BQ21:BV21)</f>
        <v>80</v>
      </c>
      <c r="M21" s="33" t="n">
        <f aca="false">SUMIFS(Cotizaciones!$J$5:$J$70,Cotizaciones!$C$5:$C$70,A21)</f>
        <v>0</v>
      </c>
      <c r="N21" s="32" t="n">
        <f aca="false">(L21*Supuestos!$B$47+M21*(1+Supuestos!$B$50))*(1+Supuestos!$B$51)/(1-Supuestos!$B$52)</f>
        <v>12995951.417004</v>
      </c>
      <c r="O21" s="73" t="n">
        <f aca="false">$C$3+F21*7</f>
        <v>46510</v>
      </c>
      <c r="P21" s="73" t="n">
        <f aca="false">$C$3+G21*7-IF(D21&gt;0,1,0)</f>
        <v>46537</v>
      </c>
      <c r="Q21" s="74" t="n">
        <v>5</v>
      </c>
      <c r="R21" s="75" t="str">
        <f aca="false">IF(AND(R$5&gt;$F21,R$5&lt;=$G21),IF($K21="Sí",2,1),IF(AND($D21=0,R$5=$G21),3,""))</f>
        <v/>
      </c>
      <c r="S21" s="75" t="str">
        <f aca="false">IF(AND(S$5&gt;$F21,S$5&lt;=$G21),IF($K21="Sí",2,1),IF(AND($D21=0,S$5=$G21),3,""))</f>
        <v/>
      </c>
      <c r="T21" s="75" t="str">
        <f aca="false">IF(AND(T$5&gt;$F21,T$5&lt;=$G21),IF($K21="Sí",2,1),IF(AND($D21=0,T$5=$G21),3,""))</f>
        <v/>
      </c>
      <c r="U21" s="75" t="str">
        <f aca="false">IF(AND(U$5&gt;$F21,U$5&lt;=$G21),IF($K21="Sí",2,1),IF(AND($D21=0,U$5=$G21),3,""))</f>
        <v/>
      </c>
      <c r="V21" s="75" t="str">
        <f aca="false">IF(AND(V$5&gt;$F21,V$5&lt;=$G21),IF($K21="Sí",2,1),IF(AND($D21=0,V$5=$G21),3,""))</f>
        <v/>
      </c>
      <c r="W21" s="75" t="str">
        <f aca="false">IF(AND(W$5&gt;$F21,W$5&lt;=$G21),IF($K21="Sí",2,1),IF(AND($D21=0,W$5=$G21),3,""))</f>
        <v/>
      </c>
      <c r="X21" s="75" t="str">
        <f aca="false">IF(AND(X$5&gt;$F21,X$5&lt;=$G21),IF($K21="Sí",2,1),IF(AND($D21=0,X$5=$G21),3,""))</f>
        <v/>
      </c>
      <c r="Y21" s="75" t="str">
        <f aca="false">IF(AND(Y$5&gt;$F21,Y$5&lt;=$G21),IF($K21="Sí",2,1),IF(AND($D21=0,Y$5=$G21),3,""))</f>
        <v/>
      </c>
      <c r="Z21" s="75" t="str">
        <f aca="false">IF(AND(Z$5&gt;$F21,Z$5&lt;=$G21),IF($K21="Sí",2,1),IF(AND($D21=0,Z$5=$G21),3,""))</f>
        <v/>
      </c>
      <c r="AA21" s="75" t="str">
        <f aca="false">IF(AND(AA$5&gt;$F21,AA$5&lt;=$G21),IF($K21="Sí",2,1),IF(AND($D21=0,AA$5=$G21),3,""))</f>
        <v/>
      </c>
      <c r="AB21" s="75" t="str">
        <f aca="false">IF(AND(AB$5&gt;$F21,AB$5&lt;=$G21),IF($K21="Sí",2,1),IF(AND($D21=0,AB$5=$G21),3,""))</f>
        <v/>
      </c>
      <c r="AC21" s="75" t="str">
        <f aca="false">IF(AND(AC$5&gt;$F21,AC$5&lt;=$G21),IF($K21="Sí",2,1),IF(AND($D21=0,AC$5=$G21),3,""))</f>
        <v/>
      </c>
      <c r="AD21" s="75" t="str">
        <f aca="false">IF(AND(AD$5&gt;$F21,AD$5&lt;=$G21),IF($K21="Sí",2,1),IF(AND($D21=0,AD$5=$G21),3,""))</f>
        <v/>
      </c>
      <c r="AE21" s="75" t="str">
        <f aca="false">IF(AND(AE$5&gt;$F21,AE$5&lt;=$G21),IF($K21="Sí",2,1),IF(AND($D21=0,AE$5=$G21),3,""))</f>
        <v/>
      </c>
      <c r="AF21" s="75" t="str">
        <f aca="false">IF(AND(AF$5&gt;$F21,AF$5&lt;=$G21),IF($K21="Sí",2,1),IF(AND($D21=0,AF$5=$G21),3,""))</f>
        <v/>
      </c>
      <c r="AG21" s="75" t="str">
        <f aca="false">IF(AND(AG$5&gt;$F21,AG$5&lt;=$G21),IF($K21="Sí",2,1),IF(AND($D21=0,AG$5=$G21),3,""))</f>
        <v/>
      </c>
      <c r="AH21" s="75" t="n">
        <f aca="false">IF(AND(AH$5&gt;$F21,AH$5&lt;=$G21),IF($K21="Sí",2,1),IF(AND($D21=0,AH$5=$G21),3,""))</f>
        <v>1</v>
      </c>
      <c r="AI21" s="75" t="n">
        <f aca="false">IF(AND(AI$5&gt;$F21,AI$5&lt;=$G21),IF($K21="Sí",2,1),IF(AND($D21=0,AI$5=$G21),3,""))</f>
        <v>1</v>
      </c>
      <c r="AJ21" s="75" t="n">
        <f aca="false">IF(AND(AJ$5&gt;$F21,AJ$5&lt;=$G21),IF($K21="Sí",2,1),IF(AND($D21=0,AJ$5=$G21),3,""))</f>
        <v>1</v>
      </c>
      <c r="AK21" s="75" t="n">
        <f aca="false">IF(AND(AK$5&gt;$F21,AK$5&lt;=$G21),IF($K21="Sí",2,1),IF(AND($D21=0,AK$5=$G21),3,""))</f>
        <v>1</v>
      </c>
      <c r="AL21" s="75" t="str">
        <f aca="false">IF(AND(AL$5&gt;$F21,AL$5&lt;=$G21),IF($K21="Sí",2,1),IF(AND($D21=0,AL$5=$G21),3,""))</f>
        <v/>
      </c>
      <c r="AM21" s="75" t="str">
        <f aca="false">IF(AND(AM$5&gt;$F21,AM$5&lt;=$G21),IF($K21="Sí",2,1),IF(AND($D21=0,AM$5=$G21),3,""))</f>
        <v/>
      </c>
      <c r="AN21" s="75" t="str">
        <f aca="false">IF(AND(AN$5&gt;$F21,AN$5&lt;=$G21),IF($K21="Sí",2,1),IF(AND($D21=0,AN$5=$G21),3,""))</f>
        <v/>
      </c>
      <c r="AO21" s="75" t="str">
        <f aca="false">IF(AND(AO$5&gt;$F21,AO$5&lt;=$G21),IF($K21="Sí",2,1),IF(AND($D21=0,AO$5=$G21),3,""))</f>
        <v/>
      </c>
      <c r="AP21" s="75" t="str">
        <f aca="false">IF(AND(AP$5&gt;$F21,AP$5&lt;=$G21),IF($K21="Sí",2,1),IF(AND($D21=0,AP$5=$G21),3,""))</f>
        <v/>
      </c>
      <c r="AQ21" s="75" t="str">
        <f aca="false">IF(AND(AQ$5&gt;$F21,AQ$5&lt;=$G21),IF($K21="Sí",2,1),IF(AND($D21=0,AQ$5=$G21),3,""))</f>
        <v/>
      </c>
      <c r="AR21" s="75" t="str">
        <f aca="false">IF(AND(AR$5&gt;$F21,AR$5&lt;=$G21),IF($K21="Sí",2,1),IF(AND($D21=0,AR$5=$G21),3,""))</f>
        <v/>
      </c>
      <c r="AS21" s="75" t="str">
        <f aca="false">IF(AND(AS$5&gt;$F21,AS$5&lt;=$G21),IF($K21="Sí",2,1),IF(AND($D21=0,AS$5=$G21),3,""))</f>
        <v/>
      </c>
      <c r="AT21" s="75" t="str">
        <f aca="false">IF(AND(AT$5&gt;$F21,AT$5&lt;=$G21),IF($K21="Sí",2,1),IF(AND($D21=0,AT$5=$G21),3,""))</f>
        <v/>
      </c>
      <c r="AU21" s="75" t="str">
        <f aca="false">IF(AND(AU$5&gt;$F21,AU$5&lt;=$G21),IF($K21="Sí",2,1),IF(AND($D21=0,AU$5=$G21),3,""))</f>
        <v/>
      </c>
      <c r="AV21" s="75" t="str">
        <f aca="false">IF(AND(AV$5&gt;$F21,AV$5&lt;=$G21),IF($K21="Sí",2,1),IF(AND($D21=0,AV$5=$G21),3,""))</f>
        <v/>
      </c>
      <c r="AW21" s="75" t="str">
        <f aca="false">IF(AND(AW$5&gt;$F21,AW$5&lt;=$G21),IF($K21="Sí",2,1),IF(AND($D21=0,AW$5=$G21),3,""))</f>
        <v/>
      </c>
      <c r="AX21" s="75" t="str">
        <f aca="false">IF(AND(AX$5&gt;$F21,AX$5&lt;=$G21),IF($K21="Sí",2,1),IF(AND($D21=0,AX$5=$G21),3,""))</f>
        <v/>
      </c>
      <c r="AY21" s="75" t="str">
        <f aca="false">IF(AND(AY$5&gt;$F21,AY$5&lt;=$G21),IF($K21="Sí",2,1),IF(AND($D21=0,AY$5=$G21),3,""))</f>
        <v/>
      </c>
      <c r="AZ21" s="75" t="str">
        <f aca="false">IF(AND(AZ$5&gt;$F21,AZ$5&lt;=$G21),IF($K21="Sí",2,1),IF(AND($D21=0,AZ$5=$G21),3,""))</f>
        <v/>
      </c>
      <c r="BA21" s="75" t="str">
        <f aca="false">IF(AND(BA$5&gt;$F21,BA$5&lt;=$G21),IF($K21="Sí",2,1),IF(AND($D21=0,BA$5=$G21),3,""))</f>
        <v/>
      </c>
      <c r="BB21" s="75" t="str">
        <f aca="false">IF(AND(BB$5&gt;$F21,BB$5&lt;=$G21),IF($K21="Sí",2,1),IF(AND($D21=0,BB$5=$G21),3,""))</f>
        <v/>
      </c>
      <c r="BC21" s="75" t="str">
        <f aca="false">IF(AND(BC$5&gt;$F21,BC$5&lt;=$G21),IF($K21="Sí",2,1),IF(AND($D21=0,BC$5=$G21),3,""))</f>
        <v/>
      </c>
      <c r="BD21" s="75" t="str">
        <f aca="false">IF(AND(BD$5&gt;$F21,BD$5&lt;=$G21),IF($K21="Sí",2,1),IF(AND($D21=0,BD$5=$G21),3,""))</f>
        <v/>
      </c>
      <c r="BE21" s="75" t="str">
        <f aca="false">IF(AND(BE$5&gt;$F21,BE$5&lt;=$G21),IF($K21="Sí",2,1),IF(AND($D21=0,BE$5=$G21),3,""))</f>
        <v/>
      </c>
      <c r="BF21" s="75" t="str">
        <f aca="false">IF(AND(BF$5&gt;$F21,BF$5&lt;=$G21),IF($K21="Sí",2,1),IF(AND($D21=0,BF$5=$G21),3,""))</f>
        <v/>
      </c>
      <c r="BG21" s="75" t="str">
        <f aca="false">IF(AND(BG$5&gt;$F21,BG$5&lt;=$G21),IF($K21="Sí",2,1),IF(AND($D21=0,BG$5=$G21),3,""))</f>
        <v/>
      </c>
      <c r="BH21" s="75" t="str">
        <f aca="false">IF(AND(BH$5&gt;$F21,BH$5&lt;=$G21),IF($K21="Sí",2,1),IF(AND($D21=0,BH$5=$G21),3,""))</f>
        <v/>
      </c>
      <c r="BI21" s="75" t="str">
        <f aca="false">IF(AND(BI$5&gt;$F21,BI$5&lt;=$G21),IF($K21="Sí",2,1),IF(AND($D21=0,BI$5=$G21),3,""))</f>
        <v/>
      </c>
      <c r="BJ21" s="75" t="str">
        <f aca="false">IF(AND(BJ$5&gt;$F21,BJ$5&lt;=$G21),IF($K21="Sí",2,1),IF(AND($D21=0,BJ$5=$G21),3,""))</f>
        <v/>
      </c>
      <c r="BK21" s="75" t="str">
        <f aca="false">IF(AND(BK$5&gt;$F21,BK$5&lt;=$G21),IF($K21="Sí",2,1),IF(AND($D21=0,BK$5=$G21),3,""))</f>
        <v/>
      </c>
      <c r="BL21" s="75" t="str">
        <f aca="false">IF(AND(BL$5&gt;$F21,BL$5&lt;=$G21),IF($K21="Sí",2,1),IF(AND($D21=0,BL$5=$G21),3,""))</f>
        <v/>
      </c>
      <c r="BM21" s="75" t="str">
        <f aca="false">IF(AND(BM$5&gt;$F21,BM$5&lt;=$G21),IF($K21="Sí",2,1),IF(AND($D21=0,BM$5=$G21),3,""))</f>
        <v/>
      </c>
      <c r="BN21" s="75" t="str">
        <f aca="false">IF(AND(BN$5&gt;$F21,BN$5&lt;=$G21),IF($K21="Sí",2,1),IF(AND($D21=0,BN$5=$G21),3,""))</f>
        <v/>
      </c>
      <c r="BO21" s="75" t="str">
        <f aca="false">IF(AND(BO$5&gt;$F21,BO$5&lt;=$G21),IF($K21="Sí",2,1),IF(AND($D21=0,BO$5=$G21),3,""))</f>
        <v/>
      </c>
      <c r="BQ21" s="59" t="n">
        <v>0</v>
      </c>
      <c r="BR21" s="59" t="n">
        <v>0</v>
      </c>
      <c r="BS21" s="59" t="n">
        <v>0</v>
      </c>
      <c r="BT21" s="59" t="n">
        <v>61</v>
      </c>
      <c r="BU21" s="59" t="n">
        <v>19</v>
      </c>
      <c r="BV21" s="59" t="n">
        <v>0</v>
      </c>
      <c r="BW21" s="76" t="n">
        <f aca="false">L21-80</f>
        <v>0</v>
      </c>
      <c r="BX21" s="77" t="n">
        <f aca="false">IF($D21=0,0,BQ21/$D21)</f>
        <v>0</v>
      </c>
      <c r="BY21" s="77" t="n">
        <f aca="false">IF($D21=0,0,BR21/$D21)</f>
        <v>0</v>
      </c>
      <c r="BZ21" s="77" t="n">
        <f aca="false">IF($D21=0,0,BS21/$D21)</f>
        <v>0</v>
      </c>
      <c r="CA21" s="77" t="n">
        <f aca="false">IF($D21=0,0,BT21/$D21)</f>
        <v>15.25</v>
      </c>
      <c r="CB21" s="77" t="n">
        <f aca="false">IF($D21=0,0,BU21/$D21)</f>
        <v>4.75</v>
      </c>
      <c r="CC21" s="77" t="n">
        <f aca="false">IF($D21=0,0,BV21/$D21)</f>
        <v>0</v>
      </c>
    </row>
    <row r="22" customFormat="false" ht="23.25" hidden="false" customHeight="true" outlineLevel="0" collapsed="false">
      <c r="A22" s="7" t="s">
        <v>1415</v>
      </c>
      <c r="B22" s="7" t="s">
        <v>1416</v>
      </c>
      <c r="C22" s="7" t="s">
        <v>1378</v>
      </c>
      <c r="D22" s="30" t="n">
        <v>3</v>
      </c>
      <c r="E22" s="7" t="s">
        <v>1395</v>
      </c>
      <c r="F22" s="32" t="n">
        <f aca="false">MAX(G13)+Q22</f>
        <v>12</v>
      </c>
      <c r="G22" s="32" t="n">
        <f aca="false">F22+D22</f>
        <v>15</v>
      </c>
      <c r="H22" s="32" t="n">
        <f aca="false">I22-D22</f>
        <v>18</v>
      </c>
      <c r="I22" s="32" t="n">
        <f aca="false">MIN(H23)</f>
        <v>21</v>
      </c>
      <c r="J22" s="32" t="n">
        <f aca="false">H22-F22</f>
        <v>6</v>
      </c>
      <c r="K22" s="71" t="str">
        <f aca="false">IF(J22=0,"Sí","")</f>
        <v/>
      </c>
      <c r="L22" s="72" t="n">
        <f aca="false">SUM(BQ22:BV22)</f>
        <v>160</v>
      </c>
      <c r="M22" s="33" t="n">
        <f aca="false">SUMIFS(Cotizaciones!$J$5:$J$70,Cotizaciones!$C$5:$C$70,A22)</f>
        <v>0</v>
      </c>
      <c r="N22" s="32" t="n">
        <f aca="false">(L22*Supuestos!$B$47+M22*(1+Supuestos!$B$50))*(1+Supuestos!$B$51)/(1-Supuestos!$B$52)</f>
        <v>25991902.8340081</v>
      </c>
      <c r="O22" s="73" t="n">
        <f aca="false">$C$3+F22*7</f>
        <v>46482</v>
      </c>
      <c r="P22" s="73" t="n">
        <f aca="false">$C$3+G22*7-IF(D22&gt;0,1,0)</f>
        <v>46502</v>
      </c>
      <c r="Q22" s="74" t="n">
        <v>0</v>
      </c>
      <c r="R22" s="75" t="str">
        <f aca="false">IF(AND(R$5&gt;$F22,R$5&lt;=$G22),IF($K22="Sí",2,1),IF(AND($D22=0,R$5=$G22),3,""))</f>
        <v/>
      </c>
      <c r="S22" s="75" t="str">
        <f aca="false">IF(AND(S$5&gt;$F22,S$5&lt;=$G22),IF($K22="Sí",2,1),IF(AND($D22=0,S$5=$G22),3,""))</f>
        <v/>
      </c>
      <c r="T22" s="75" t="str">
        <f aca="false">IF(AND(T$5&gt;$F22,T$5&lt;=$G22),IF($K22="Sí",2,1),IF(AND($D22=0,T$5=$G22),3,""))</f>
        <v/>
      </c>
      <c r="U22" s="75" t="str">
        <f aca="false">IF(AND(U$5&gt;$F22,U$5&lt;=$G22),IF($K22="Sí",2,1),IF(AND($D22=0,U$5=$G22),3,""))</f>
        <v/>
      </c>
      <c r="V22" s="75" t="str">
        <f aca="false">IF(AND(V$5&gt;$F22,V$5&lt;=$G22),IF($K22="Sí",2,1),IF(AND($D22=0,V$5=$G22),3,""))</f>
        <v/>
      </c>
      <c r="W22" s="75" t="str">
        <f aca="false">IF(AND(W$5&gt;$F22,W$5&lt;=$G22),IF($K22="Sí",2,1),IF(AND($D22=0,W$5=$G22),3,""))</f>
        <v/>
      </c>
      <c r="X22" s="75" t="str">
        <f aca="false">IF(AND(X$5&gt;$F22,X$5&lt;=$G22),IF($K22="Sí",2,1),IF(AND($D22=0,X$5=$G22),3,""))</f>
        <v/>
      </c>
      <c r="Y22" s="75" t="str">
        <f aca="false">IF(AND(Y$5&gt;$F22,Y$5&lt;=$G22),IF($K22="Sí",2,1),IF(AND($D22=0,Y$5=$G22),3,""))</f>
        <v/>
      </c>
      <c r="Z22" s="75" t="str">
        <f aca="false">IF(AND(Z$5&gt;$F22,Z$5&lt;=$G22),IF($K22="Sí",2,1),IF(AND($D22=0,Z$5=$G22),3,""))</f>
        <v/>
      </c>
      <c r="AA22" s="75" t="str">
        <f aca="false">IF(AND(AA$5&gt;$F22,AA$5&lt;=$G22),IF($K22="Sí",2,1),IF(AND($D22=0,AA$5=$G22),3,""))</f>
        <v/>
      </c>
      <c r="AB22" s="75" t="str">
        <f aca="false">IF(AND(AB$5&gt;$F22,AB$5&lt;=$G22),IF($K22="Sí",2,1),IF(AND($D22=0,AB$5=$G22),3,""))</f>
        <v/>
      </c>
      <c r="AC22" s="75" t="str">
        <f aca="false">IF(AND(AC$5&gt;$F22,AC$5&lt;=$G22),IF($K22="Sí",2,1),IF(AND($D22=0,AC$5=$G22),3,""))</f>
        <v/>
      </c>
      <c r="AD22" s="75" t="n">
        <f aca="false">IF(AND(AD$5&gt;$F22,AD$5&lt;=$G22),IF($K22="Sí",2,1),IF(AND($D22=0,AD$5=$G22),3,""))</f>
        <v>1</v>
      </c>
      <c r="AE22" s="75" t="n">
        <f aca="false">IF(AND(AE$5&gt;$F22,AE$5&lt;=$G22),IF($K22="Sí",2,1),IF(AND($D22=0,AE$5=$G22),3,""))</f>
        <v>1</v>
      </c>
      <c r="AF22" s="75" t="n">
        <f aca="false">IF(AND(AF$5&gt;$F22,AF$5&lt;=$G22),IF($K22="Sí",2,1),IF(AND($D22=0,AF$5=$G22),3,""))</f>
        <v>1</v>
      </c>
      <c r="AG22" s="75" t="str">
        <f aca="false">IF(AND(AG$5&gt;$F22,AG$5&lt;=$G22),IF($K22="Sí",2,1),IF(AND($D22=0,AG$5=$G22),3,""))</f>
        <v/>
      </c>
      <c r="AH22" s="75" t="str">
        <f aca="false">IF(AND(AH$5&gt;$F22,AH$5&lt;=$G22),IF($K22="Sí",2,1),IF(AND($D22=0,AH$5=$G22),3,""))</f>
        <v/>
      </c>
      <c r="AI22" s="75" t="str">
        <f aca="false">IF(AND(AI$5&gt;$F22,AI$5&lt;=$G22),IF($K22="Sí",2,1),IF(AND($D22=0,AI$5=$G22),3,""))</f>
        <v/>
      </c>
      <c r="AJ22" s="75" t="str">
        <f aca="false">IF(AND(AJ$5&gt;$F22,AJ$5&lt;=$G22),IF($K22="Sí",2,1),IF(AND($D22=0,AJ$5=$G22),3,""))</f>
        <v/>
      </c>
      <c r="AK22" s="75" t="str">
        <f aca="false">IF(AND(AK$5&gt;$F22,AK$5&lt;=$G22),IF($K22="Sí",2,1),IF(AND($D22=0,AK$5=$G22),3,""))</f>
        <v/>
      </c>
      <c r="AL22" s="75" t="str">
        <f aca="false">IF(AND(AL$5&gt;$F22,AL$5&lt;=$G22),IF($K22="Sí",2,1),IF(AND($D22=0,AL$5=$G22),3,""))</f>
        <v/>
      </c>
      <c r="AM22" s="75" t="str">
        <f aca="false">IF(AND(AM$5&gt;$F22,AM$5&lt;=$G22),IF($K22="Sí",2,1),IF(AND($D22=0,AM$5=$G22),3,""))</f>
        <v/>
      </c>
      <c r="AN22" s="75" t="str">
        <f aca="false">IF(AND(AN$5&gt;$F22,AN$5&lt;=$G22),IF($K22="Sí",2,1),IF(AND($D22=0,AN$5=$G22),3,""))</f>
        <v/>
      </c>
      <c r="AO22" s="75" t="str">
        <f aca="false">IF(AND(AO$5&gt;$F22,AO$5&lt;=$G22),IF($K22="Sí",2,1),IF(AND($D22=0,AO$5=$G22),3,""))</f>
        <v/>
      </c>
      <c r="AP22" s="75" t="str">
        <f aca="false">IF(AND(AP$5&gt;$F22,AP$5&lt;=$G22),IF($K22="Sí",2,1),IF(AND($D22=0,AP$5=$G22),3,""))</f>
        <v/>
      </c>
      <c r="AQ22" s="75" t="str">
        <f aca="false">IF(AND(AQ$5&gt;$F22,AQ$5&lt;=$G22),IF($K22="Sí",2,1),IF(AND($D22=0,AQ$5=$G22),3,""))</f>
        <v/>
      </c>
      <c r="AR22" s="75" t="str">
        <f aca="false">IF(AND(AR$5&gt;$F22,AR$5&lt;=$G22),IF($K22="Sí",2,1),IF(AND($D22=0,AR$5=$G22),3,""))</f>
        <v/>
      </c>
      <c r="AS22" s="75" t="str">
        <f aca="false">IF(AND(AS$5&gt;$F22,AS$5&lt;=$G22),IF($K22="Sí",2,1),IF(AND($D22=0,AS$5=$G22),3,""))</f>
        <v/>
      </c>
      <c r="AT22" s="75" t="str">
        <f aca="false">IF(AND(AT$5&gt;$F22,AT$5&lt;=$G22),IF($K22="Sí",2,1),IF(AND($D22=0,AT$5=$G22),3,""))</f>
        <v/>
      </c>
      <c r="AU22" s="75" t="str">
        <f aca="false">IF(AND(AU$5&gt;$F22,AU$5&lt;=$G22),IF($K22="Sí",2,1),IF(AND($D22=0,AU$5=$G22),3,""))</f>
        <v/>
      </c>
      <c r="AV22" s="75" t="str">
        <f aca="false">IF(AND(AV$5&gt;$F22,AV$5&lt;=$G22),IF($K22="Sí",2,1),IF(AND($D22=0,AV$5=$G22),3,""))</f>
        <v/>
      </c>
      <c r="AW22" s="75" t="str">
        <f aca="false">IF(AND(AW$5&gt;$F22,AW$5&lt;=$G22),IF($K22="Sí",2,1),IF(AND($D22=0,AW$5=$G22),3,""))</f>
        <v/>
      </c>
      <c r="AX22" s="75" t="str">
        <f aca="false">IF(AND(AX$5&gt;$F22,AX$5&lt;=$G22),IF($K22="Sí",2,1),IF(AND($D22=0,AX$5=$G22),3,""))</f>
        <v/>
      </c>
      <c r="AY22" s="75" t="str">
        <f aca="false">IF(AND(AY$5&gt;$F22,AY$5&lt;=$G22),IF($K22="Sí",2,1),IF(AND($D22=0,AY$5=$G22),3,""))</f>
        <v/>
      </c>
      <c r="AZ22" s="75" t="str">
        <f aca="false">IF(AND(AZ$5&gt;$F22,AZ$5&lt;=$G22),IF($K22="Sí",2,1),IF(AND($D22=0,AZ$5=$G22),3,""))</f>
        <v/>
      </c>
      <c r="BA22" s="75" t="str">
        <f aca="false">IF(AND(BA$5&gt;$F22,BA$5&lt;=$G22),IF($K22="Sí",2,1),IF(AND($D22=0,BA$5=$G22),3,""))</f>
        <v/>
      </c>
      <c r="BB22" s="75" t="str">
        <f aca="false">IF(AND(BB$5&gt;$F22,BB$5&lt;=$G22),IF($K22="Sí",2,1),IF(AND($D22=0,BB$5=$G22),3,""))</f>
        <v/>
      </c>
      <c r="BC22" s="75" t="str">
        <f aca="false">IF(AND(BC$5&gt;$F22,BC$5&lt;=$G22),IF($K22="Sí",2,1),IF(AND($D22=0,BC$5=$G22),3,""))</f>
        <v/>
      </c>
      <c r="BD22" s="75" t="str">
        <f aca="false">IF(AND(BD$5&gt;$F22,BD$5&lt;=$G22),IF($K22="Sí",2,1),IF(AND($D22=0,BD$5=$G22),3,""))</f>
        <v/>
      </c>
      <c r="BE22" s="75" t="str">
        <f aca="false">IF(AND(BE$5&gt;$F22,BE$5&lt;=$G22),IF($K22="Sí",2,1),IF(AND($D22=0,BE$5=$G22),3,""))</f>
        <v/>
      </c>
      <c r="BF22" s="75" t="str">
        <f aca="false">IF(AND(BF$5&gt;$F22,BF$5&lt;=$G22),IF($K22="Sí",2,1),IF(AND($D22=0,BF$5=$G22),3,""))</f>
        <v/>
      </c>
      <c r="BG22" s="75" t="str">
        <f aca="false">IF(AND(BG$5&gt;$F22,BG$5&lt;=$G22),IF($K22="Sí",2,1),IF(AND($D22=0,BG$5=$G22),3,""))</f>
        <v/>
      </c>
      <c r="BH22" s="75" t="str">
        <f aca="false">IF(AND(BH$5&gt;$F22,BH$5&lt;=$G22),IF($K22="Sí",2,1),IF(AND($D22=0,BH$5=$G22),3,""))</f>
        <v/>
      </c>
      <c r="BI22" s="75" t="str">
        <f aca="false">IF(AND(BI$5&gt;$F22,BI$5&lt;=$G22),IF($K22="Sí",2,1),IF(AND($D22=0,BI$5=$G22),3,""))</f>
        <v/>
      </c>
      <c r="BJ22" s="75" t="str">
        <f aca="false">IF(AND(BJ$5&gt;$F22,BJ$5&lt;=$G22),IF($K22="Sí",2,1),IF(AND($D22=0,BJ$5=$G22),3,""))</f>
        <v/>
      </c>
      <c r="BK22" s="75" t="str">
        <f aca="false">IF(AND(BK$5&gt;$F22,BK$5&lt;=$G22),IF($K22="Sí",2,1),IF(AND($D22=0,BK$5=$G22),3,""))</f>
        <v/>
      </c>
      <c r="BL22" s="75" t="str">
        <f aca="false">IF(AND(BL$5&gt;$F22,BL$5&lt;=$G22),IF($K22="Sí",2,1),IF(AND($D22=0,BL$5=$G22),3,""))</f>
        <v/>
      </c>
      <c r="BM22" s="75" t="str">
        <f aca="false">IF(AND(BM$5&gt;$F22,BM$5&lt;=$G22),IF($K22="Sí",2,1),IF(AND($D22=0,BM$5=$G22),3,""))</f>
        <v/>
      </c>
      <c r="BN22" s="75" t="str">
        <f aca="false">IF(AND(BN$5&gt;$F22,BN$5&lt;=$G22),IF($K22="Sí",2,1),IF(AND($D22=0,BN$5=$G22),3,""))</f>
        <v/>
      </c>
      <c r="BO22" s="75" t="str">
        <f aca="false">IF(AND(BO$5&gt;$F22,BO$5&lt;=$G22),IF($K22="Sí",2,1),IF(AND($D22=0,BO$5=$G22),3,""))</f>
        <v/>
      </c>
      <c r="BQ22" s="59" t="n">
        <v>52</v>
      </c>
      <c r="BR22" s="59" t="n">
        <v>0</v>
      </c>
      <c r="BS22" s="59" t="n">
        <v>108</v>
      </c>
      <c r="BT22" s="59" t="n">
        <v>0</v>
      </c>
      <c r="BU22" s="59" t="n">
        <v>0</v>
      </c>
      <c r="BV22" s="59" t="n">
        <v>0</v>
      </c>
      <c r="BW22" s="76" t="n">
        <f aca="false">L22-160</f>
        <v>0</v>
      </c>
      <c r="BX22" s="77" t="n">
        <f aca="false">IF($D22=0,0,BQ22/$D22)</f>
        <v>17.3333333333333</v>
      </c>
      <c r="BY22" s="77" t="n">
        <f aca="false">IF($D22=0,0,BR22/$D22)</f>
        <v>0</v>
      </c>
      <c r="BZ22" s="77" t="n">
        <f aca="false">IF($D22=0,0,BS22/$D22)</f>
        <v>36</v>
      </c>
      <c r="CA22" s="77" t="n">
        <f aca="false">IF($D22=0,0,BT22/$D22)</f>
        <v>0</v>
      </c>
      <c r="CB22" s="77" t="n">
        <f aca="false">IF($D22=0,0,BU22/$D22)</f>
        <v>0</v>
      </c>
      <c r="CC22" s="77" t="n">
        <f aca="false">IF($D22=0,0,BV22/$D22)</f>
        <v>0</v>
      </c>
    </row>
    <row r="23" customFormat="false" ht="15" hidden="false" customHeight="true" outlineLevel="0" collapsed="false">
      <c r="A23" s="7" t="s">
        <v>936</v>
      </c>
      <c r="B23" s="7" t="s">
        <v>1417</v>
      </c>
      <c r="C23" s="7" t="s">
        <v>1378</v>
      </c>
      <c r="D23" s="30" t="n">
        <v>12</v>
      </c>
      <c r="E23" s="7" t="s">
        <v>1415</v>
      </c>
      <c r="F23" s="32" t="n">
        <f aca="false">MAX(G22)+Q23</f>
        <v>15</v>
      </c>
      <c r="G23" s="32" t="n">
        <f aca="false">F23+D23</f>
        <v>27</v>
      </c>
      <c r="H23" s="32" t="n">
        <f aca="false">I23-D23</f>
        <v>21</v>
      </c>
      <c r="I23" s="32" t="n">
        <f aca="false">MIN(H33)</f>
        <v>33</v>
      </c>
      <c r="J23" s="32" t="n">
        <f aca="false">H23-F23</f>
        <v>6</v>
      </c>
      <c r="K23" s="71" t="str">
        <f aca="false">IF(J23=0,"Sí","")</f>
        <v/>
      </c>
      <c r="L23" s="72" t="n">
        <f aca="false">SUM(BQ23:BV23)</f>
        <v>80</v>
      </c>
      <c r="M23" s="33" t="n">
        <f aca="false">SUMIFS(Cotizaciones!$J$5:$J$70,Cotizaciones!$C$5:$C$70,A23)</f>
        <v>1726436316.22546</v>
      </c>
      <c r="N23" s="32" t="n">
        <f aca="false">(L23*Supuestos!$B$47+M23*(1+Supuestos!$B$50))*(1+Supuestos!$B$51)/(1-Supuestos!$B$52)</f>
        <v>2069691846.35361</v>
      </c>
      <c r="O23" s="73" t="n">
        <f aca="false">$C$3+F23*7</f>
        <v>46503</v>
      </c>
      <c r="P23" s="73" t="n">
        <f aca="false">$C$3+G23*7-IF(D23&gt;0,1,0)</f>
        <v>46586</v>
      </c>
      <c r="Q23" s="74" t="n">
        <v>0</v>
      </c>
      <c r="R23" s="75" t="str">
        <f aca="false">IF(AND(R$5&gt;$F23,R$5&lt;=$G23),IF($K23="Sí",2,1),IF(AND($D23=0,R$5=$G23),3,""))</f>
        <v/>
      </c>
      <c r="S23" s="75" t="str">
        <f aca="false">IF(AND(S$5&gt;$F23,S$5&lt;=$G23),IF($K23="Sí",2,1),IF(AND($D23=0,S$5=$G23),3,""))</f>
        <v/>
      </c>
      <c r="T23" s="75" t="str">
        <f aca="false">IF(AND(T$5&gt;$F23,T$5&lt;=$G23),IF($K23="Sí",2,1),IF(AND($D23=0,T$5=$G23),3,""))</f>
        <v/>
      </c>
      <c r="U23" s="75" t="str">
        <f aca="false">IF(AND(U$5&gt;$F23,U$5&lt;=$G23),IF($K23="Sí",2,1),IF(AND($D23=0,U$5=$G23),3,""))</f>
        <v/>
      </c>
      <c r="V23" s="75" t="str">
        <f aca="false">IF(AND(V$5&gt;$F23,V$5&lt;=$G23),IF($K23="Sí",2,1),IF(AND($D23=0,V$5=$G23),3,""))</f>
        <v/>
      </c>
      <c r="W23" s="75" t="str">
        <f aca="false">IF(AND(W$5&gt;$F23,W$5&lt;=$G23),IF($K23="Sí",2,1),IF(AND($D23=0,W$5=$G23),3,""))</f>
        <v/>
      </c>
      <c r="X23" s="75" t="str">
        <f aca="false">IF(AND(X$5&gt;$F23,X$5&lt;=$G23),IF($K23="Sí",2,1),IF(AND($D23=0,X$5=$G23),3,""))</f>
        <v/>
      </c>
      <c r="Y23" s="75" t="str">
        <f aca="false">IF(AND(Y$5&gt;$F23,Y$5&lt;=$G23),IF($K23="Sí",2,1),IF(AND($D23=0,Y$5=$G23),3,""))</f>
        <v/>
      </c>
      <c r="Z23" s="75" t="str">
        <f aca="false">IF(AND(Z$5&gt;$F23,Z$5&lt;=$G23),IF($K23="Sí",2,1),IF(AND($D23=0,Z$5=$G23),3,""))</f>
        <v/>
      </c>
      <c r="AA23" s="75" t="str">
        <f aca="false">IF(AND(AA$5&gt;$F23,AA$5&lt;=$G23),IF($K23="Sí",2,1),IF(AND($D23=0,AA$5=$G23),3,""))</f>
        <v/>
      </c>
      <c r="AB23" s="75" t="str">
        <f aca="false">IF(AND(AB$5&gt;$F23,AB$5&lt;=$G23),IF($K23="Sí",2,1),IF(AND($D23=0,AB$5=$G23),3,""))</f>
        <v/>
      </c>
      <c r="AC23" s="75" t="str">
        <f aca="false">IF(AND(AC$5&gt;$F23,AC$5&lt;=$G23),IF($K23="Sí",2,1),IF(AND($D23=0,AC$5=$G23),3,""))</f>
        <v/>
      </c>
      <c r="AD23" s="75" t="str">
        <f aca="false">IF(AND(AD$5&gt;$F23,AD$5&lt;=$G23),IF($K23="Sí",2,1),IF(AND($D23=0,AD$5=$G23),3,""))</f>
        <v/>
      </c>
      <c r="AE23" s="75" t="str">
        <f aca="false">IF(AND(AE$5&gt;$F23,AE$5&lt;=$G23),IF($K23="Sí",2,1),IF(AND($D23=0,AE$5=$G23),3,""))</f>
        <v/>
      </c>
      <c r="AF23" s="75" t="str">
        <f aca="false">IF(AND(AF$5&gt;$F23,AF$5&lt;=$G23),IF($K23="Sí",2,1),IF(AND($D23=0,AF$5=$G23),3,""))</f>
        <v/>
      </c>
      <c r="AG23" s="75" t="n">
        <f aca="false">IF(AND(AG$5&gt;$F23,AG$5&lt;=$G23),IF($K23="Sí",2,1),IF(AND($D23=0,AG$5=$G23),3,""))</f>
        <v>1</v>
      </c>
      <c r="AH23" s="75" t="n">
        <f aca="false">IF(AND(AH$5&gt;$F23,AH$5&lt;=$G23),IF($K23="Sí",2,1),IF(AND($D23=0,AH$5=$G23),3,""))</f>
        <v>1</v>
      </c>
      <c r="AI23" s="75" t="n">
        <f aca="false">IF(AND(AI$5&gt;$F23,AI$5&lt;=$G23),IF($K23="Sí",2,1),IF(AND($D23=0,AI$5=$G23),3,""))</f>
        <v>1</v>
      </c>
      <c r="AJ23" s="75" t="n">
        <f aca="false">IF(AND(AJ$5&gt;$F23,AJ$5&lt;=$G23),IF($K23="Sí",2,1),IF(AND($D23=0,AJ$5=$G23),3,""))</f>
        <v>1</v>
      </c>
      <c r="AK23" s="75" t="n">
        <f aca="false">IF(AND(AK$5&gt;$F23,AK$5&lt;=$G23),IF($K23="Sí",2,1),IF(AND($D23=0,AK$5=$G23),3,""))</f>
        <v>1</v>
      </c>
      <c r="AL23" s="75" t="n">
        <f aca="false">IF(AND(AL$5&gt;$F23,AL$5&lt;=$G23),IF($K23="Sí",2,1),IF(AND($D23=0,AL$5=$G23),3,""))</f>
        <v>1</v>
      </c>
      <c r="AM23" s="75" t="n">
        <f aca="false">IF(AND(AM$5&gt;$F23,AM$5&lt;=$G23),IF($K23="Sí",2,1),IF(AND($D23=0,AM$5=$G23),3,""))</f>
        <v>1</v>
      </c>
      <c r="AN23" s="75" t="n">
        <f aca="false">IF(AND(AN$5&gt;$F23,AN$5&lt;=$G23),IF($K23="Sí",2,1),IF(AND($D23=0,AN$5=$G23),3,""))</f>
        <v>1</v>
      </c>
      <c r="AO23" s="75" t="n">
        <f aca="false">IF(AND(AO$5&gt;$F23,AO$5&lt;=$G23),IF($K23="Sí",2,1),IF(AND($D23=0,AO$5=$G23),3,""))</f>
        <v>1</v>
      </c>
      <c r="AP23" s="75" t="n">
        <f aca="false">IF(AND(AP$5&gt;$F23,AP$5&lt;=$G23),IF($K23="Sí",2,1),IF(AND($D23=0,AP$5=$G23),3,""))</f>
        <v>1</v>
      </c>
      <c r="AQ23" s="75" t="n">
        <f aca="false">IF(AND(AQ$5&gt;$F23,AQ$5&lt;=$G23),IF($K23="Sí",2,1),IF(AND($D23=0,AQ$5=$G23),3,""))</f>
        <v>1</v>
      </c>
      <c r="AR23" s="75" t="n">
        <f aca="false">IF(AND(AR$5&gt;$F23,AR$5&lt;=$G23),IF($K23="Sí",2,1),IF(AND($D23=0,AR$5=$G23),3,""))</f>
        <v>1</v>
      </c>
      <c r="AS23" s="75" t="str">
        <f aca="false">IF(AND(AS$5&gt;$F23,AS$5&lt;=$G23),IF($K23="Sí",2,1),IF(AND($D23=0,AS$5=$G23),3,""))</f>
        <v/>
      </c>
      <c r="AT23" s="75" t="str">
        <f aca="false">IF(AND(AT$5&gt;$F23,AT$5&lt;=$G23),IF($K23="Sí",2,1),IF(AND($D23=0,AT$5=$G23),3,""))</f>
        <v/>
      </c>
      <c r="AU23" s="75" t="str">
        <f aca="false">IF(AND(AU$5&gt;$F23,AU$5&lt;=$G23),IF($K23="Sí",2,1),IF(AND($D23=0,AU$5=$G23),3,""))</f>
        <v/>
      </c>
      <c r="AV23" s="75" t="str">
        <f aca="false">IF(AND(AV$5&gt;$F23,AV$5&lt;=$G23),IF($K23="Sí",2,1),IF(AND($D23=0,AV$5=$G23),3,""))</f>
        <v/>
      </c>
      <c r="AW23" s="75" t="str">
        <f aca="false">IF(AND(AW$5&gt;$F23,AW$5&lt;=$G23),IF($K23="Sí",2,1),IF(AND($D23=0,AW$5=$G23),3,""))</f>
        <v/>
      </c>
      <c r="AX23" s="75" t="str">
        <f aca="false">IF(AND(AX$5&gt;$F23,AX$5&lt;=$G23),IF($K23="Sí",2,1),IF(AND($D23=0,AX$5=$G23),3,""))</f>
        <v/>
      </c>
      <c r="AY23" s="75" t="str">
        <f aca="false">IF(AND(AY$5&gt;$F23,AY$5&lt;=$G23),IF($K23="Sí",2,1),IF(AND($D23=0,AY$5=$G23),3,""))</f>
        <v/>
      </c>
      <c r="AZ23" s="75" t="str">
        <f aca="false">IF(AND(AZ$5&gt;$F23,AZ$5&lt;=$G23),IF($K23="Sí",2,1),IF(AND($D23=0,AZ$5=$G23),3,""))</f>
        <v/>
      </c>
      <c r="BA23" s="75" t="str">
        <f aca="false">IF(AND(BA$5&gt;$F23,BA$5&lt;=$G23),IF($K23="Sí",2,1),IF(AND($D23=0,BA$5=$G23),3,""))</f>
        <v/>
      </c>
      <c r="BB23" s="75" t="str">
        <f aca="false">IF(AND(BB$5&gt;$F23,BB$5&lt;=$G23),IF($K23="Sí",2,1),IF(AND($D23=0,BB$5=$G23),3,""))</f>
        <v/>
      </c>
      <c r="BC23" s="75" t="str">
        <f aca="false">IF(AND(BC$5&gt;$F23,BC$5&lt;=$G23),IF($K23="Sí",2,1),IF(AND($D23=0,BC$5=$G23),3,""))</f>
        <v/>
      </c>
      <c r="BD23" s="75" t="str">
        <f aca="false">IF(AND(BD$5&gt;$F23,BD$5&lt;=$G23),IF($K23="Sí",2,1),IF(AND($D23=0,BD$5=$G23),3,""))</f>
        <v/>
      </c>
      <c r="BE23" s="75" t="str">
        <f aca="false">IF(AND(BE$5&gt;$F23,BE$5&lt;=$G23),IF($K23="Sí",2,1),IF(AND($D23=0,BE$5=$G23),3,""))</f>
        <v/>
      </c>
      <c r="BF23" s="75" t="str">
        <f aca="false">IF(AND(BF$5&gt;$F23,BF$5&lt;=$G23),IF($K23="Sí",2,1),IF(AND($D23=0,BF$5=$G23),3,""))</f>
        <v/>
      </c>
      <c r="BG23" s="75" t="str">
        <f aca="false">IF(AND(BG$5&gt;$F23,BG$5&lt;=$G23),IF($K23="Sí",2,1),IF(AND($D23=0,BG$5=$G23),3,""))</f>
        <v/>
      </c>
      <c r="BH23" s="75" t="str">
        <f aca="false">IF(AND(BH$5&gt;$F23,BH$5&lt;=$G23),IF($K23="Sí",2,1),IF(AND($D23=0,BH$5=$G23),3,""))</f>
        <v/>
      </c>
      <c r="BI23" s="75" t="str">
        <f aca="false">IF(AND(BI$5&gt;$F23,BI$5&lt;=$G23),IF($K23="Sí",2,1),IF(AND($D23=0,BI$5=$G23),3,""))</f>
        <v/>
      </c>
      <c r="BJ23" s="75" t="str">
        <f aca="false">IF(AND(BJ$5&gt;$F23,BJ$5&lt;=$G23),IF($K23="Sí",2,1),IF(AND($D23=0,BJ$5=$G23),3,""))</f>
        <v/>
      </c>
      <c r="BK23" s="75" t="str">
        <f aca="false">IF(AND(BK$5&gt;$F23,BK$5&lt;=$G23),IF($K23="Sí",2,1),IF(AND($D23=0,BK$5=$G23),3,""))</f>
        <v/>
      </c>
      <c r="BL23" s="75" t="str">
        <f aca="false">IF(AND(BL$5&gt;$F23,BL$5&lt;=$G23),IF($K23="Sí",2,1),IF(AND($D23=0,BL$5=$G23),3,""))</f>
        <v/>
      </c>
      <c r="BM23" s="75" t="str">
        <f aca="false">IF(AND(BM$5&gt;$F23,BM$5&lt;=$G23),IF($K23="Sí",2,1),IF(AND($D23=0,BM$5=$G23),3,""))</f>
        <v/>
      </c>
      <c r="BN23" s="75" t="str">
        <f aca="false">IF(AND(BN$5&gt;$F23,BN$5&lt;=$G23),IF($K23="Sí",2,1),IF(AND($D23=0,BN$5=$G23),3,""))</f>
        <v/>
      </c>
      <c r="BO23" s="75" t="str">
        <f aca="false">IF(AND(BO$5&gt;$F23,BO$5&lt;=$G23),IF($K23="Sí",2,1),IF(AND($D23=0,BO$5=$G23),3,""))</f>
        <v/>
      </c>
      <c r="BQ23" s="59" t="n">
        <v>80</v>
      </c>
      <c r="BR23" s="59" t="n">
        <v>0</v>
      </c>
      <c r="BS23" s="59" t="n">
        <v>0</v>
      </c>
      <c r="BT23" s="59" t="n">
        <v>0</v>
      </c>
      <c r="BU23" s="59" t="n">
        <v>0</v>
      </c>
      <c r="BV23" s="59" t="n">
        <v>0</v>
      </c>
      <c r="BW23" s="76" t="n">
        <f aca="false">L23-80</f>
        <v>0</v>
      </c>
      <c r="BX23" s="77" t="n">
        <f aca="false">IF($D23=0,0,BQ23/$D23)</f>
        <v>6.66666666666667</v>
      </c>
      <c r="BY23" s="77" t="n">
        <f aca="false">IF($D23=0,0,BR23/$D23)</f>
        <v>0</v>
      </c>
      <c r="BZ23" s="77" t="n">
        <f aca="false">IF($D23=0,0,BS23/$D23)</f>
        <v>0</v>
      </c>
      <c r="CA23" s="77" t="n">
        <f aca="false">IF($D23=0,0,BT23/$D23)</f>
        <v>0</v>
      </c>
      <c r="CB23" s="77" t="n">
        <f aca="false">IF($D23=0,0,BU23/$D23)</f>
        <v>0</v>
      </c>
      <c r="CC23" s="77" t="n">
        <f aca="false">IF($D23=0,0,BV23/$D23)</f>
        <v>0</v>
      </c>
    </row>
    <row r="24" customFormat="false" ht="15" hidden="false" customHeight="true" outlineLevel="0" collapsed="false">
      <c r="A24" s="7" t="s">
        <v>1020</v>
      </c>
      <c r="B24" s="7" t="s">
        <v>1418</v>
      </c>
      <c r="C24" s="7" t="s">
        <v>1397</v>
      </c>
      <c r="D24" s="30" t="n">
        <v>20</v>
      </c>
      <c r="E24" s="7" t="s">
        <v>1402</v>
      </c>
      <c r="F24" s="32" t="n">
        <f aca="false">MAX(G16)+Q24</f>
        <v>11</v>
      </c>
      <c r="G24" s="32" t="n">
        <f aca="false">F24+D24</f>
        <v>31</v>
      </c>
      <c r="H24" s="32" t="n">
        <f aca="false">I24-D24</f>
        <v>11</v>
      </c>
      <c r="I24" s="32" t="n">
        <f aca="false">MIN(H30)</f>
        <v>31</v>
      </c>
      <c r="J24" s="32" t="n">
        <f aca="false">H24-F24</f>
        <v>0</v>
      </c>
      <c r="K24" s="71" t="str">
        <f aca="false">IF(J24=0,"Sí","")</f>
        <v>Sí</v>
      </c>
      <c r="L24" s="72" t="n">
        <f aca="false">SUM(BQ24:BV24)</f>
        <v>120</v>
      </c>
      <c r="M24" s="33" t="n">
        <f aca="false">SUMIFS(Cotizaciones!$J$5:$J$70,Cotizaciones!$C$5:$C$70,A24)</f>
        <v>1466671836</v>
      </c>
      <c r="N24" s="32" t="n">
        <f aca="false">(L24*Supuestos!$B$47+M24*(1+Supuestos!$B$50))*(1+Supuestos!$B$51)/(1-Supuestos!$B$52)</f>
        <v>1766733553.61539</v>
      </c>
      <c r="O24" s="73" t="n">
        <f aca="false">$C$3+F24*7</f>
        <v>46475</v>
      </c>
      <c r="P24" s="73" t="n">
        <f aca="false">$C$3+G24*7-IF(D24&gt;0,1,0)</f>
        <v>46614</v>
      </c>
      <c r="Q24" s="74" t="n">
        <v>0</v>
      </c>
      <c r="R24" s="75" t="str">
        <f aca="false">IF(AND(R$5&gt;$F24,R$5&lt;=$G24),IF($K24="Sí",2,1),IF(AND($D24=0,R$5=$G24),3,""))</f>
        <v/>
      </c>
      <c r="S24" s="75" t="str">
        <f aca="false">IF(AND(S$5&gt;$F24,S$5&lt;=$G24),IF($K24="Sí",2,1),IF(AND($D24=0,S$5=$G24),3,""))</f>
        <v/>
      </c>
      <c r="T24" s="75" t="str">
        <f aca="false">IF(AND(T$5&gt;$F24,T$5&lt;=$G24),IF($K24="Sí",2,1),IF(AND($D24=0,T$5=$G24),3,""))</f>
        <v/>
      </c>
      <c r="U24" s="75" t="str">
        <f aca="false">IF(AND(U$5&gt;$F24,U$5&lt;=$G24),IF($K24="Sí",2,1),IF(AND($D24=0,U$5=$G24),3,""))</f>
        <v/>
      </c>
      <c r="V24" s="75" t="str">
        <f aca="false">IF(AND(V$5&gt;$F24,V$5&lt;=$G24),IF($K24="Sí",2,1),IF(AND($D24=0,V$5=$G24),3,""))</f>
        <v/>
      </c>
      <c r="W24" s="75" t="str">
        <f aca="false">IF(AND(W$5&gt;$F24,W$5&lt;=$G24),IF($K24="Sí",2,1),IF(AND($D24=0,W$5=$G24),3,""))</f>
        <v/>
      </c>
      <c r="X24" s="75" t="str">
        <f aca="false">IF(AND(X$5&gt;$F24,X$5&lt;=$G24),IF($K24="Sí",2,1),IF(AND($D24=0,X$5=$G24),3,""))</f>
        <v/>
      </c>
      <c r="Y24" s="75" t="str">
        <f aca="false">IF(AND(Y$5&gt;$F24,Y$5&lt;=$G24),IF($K24="Sí",2,1),IF(AND($D24=0,Y$5=$G24),3,""))</f>
        <v/>
      </c>
      <c r="Z24" s="75" t="str">
        <f aca="false">IF(AND(Z$5&gt;$F24,Z$5&lt;=$G24),IF($K24="Sí",2,1),IF(AND($D24=0,Z$5=$G24),3,""))</f>
        <v/>
      </c>
      <c r="AA24" s="75" t="str">
        <f aca="false">IF(AND(AA$5&gt;$F24,AA$5&lt;=$G24),IF($K24="Sí",2,1),IF(AND($D24=0,AA$5=$G24),3,""))</f>
        <v/>
      </c>
      <c r="AB24" s="75" t="str">
        <f aca="false">IF(AND(AB$5&gt;$F24,AB$5&lt;=$G24),IF($K24="Sí",2,1),IF(AND($D24=0,AB$5=$G24),3,""))</f>
        <v/>
      </c>
      <c r="AC24" s="75" t="n">
        <f aca="false">IF(AND(AC$5&gt;$F24,AC$5&lt;=$G24),IF($K24="Sí",2,1),IF(AND($D24=0,AC$5=$G24),3,""))</f>
        <v>2</v>
      </c>
      <c r="AD24" s="75" t="n">
        <f aca="false">IF(AND(AD$5&gt;$F24,AD$5&lt;=$G24),IF($K24="Sí",2,1),IF(AND($D24=0,AD$5=$G24),3,""))</f>
        <v>2</v>
      </c>
      <c r="AE24" s="75" t="n">
        <f aca="false">IF(AND(AE$5&gt;$F24,AE$5&lt;=$G24),IF($K24="Sí",2,1),IF(AND($D24=0,AE$5=$G24),3,""))</f>
        <v>2</v>
      </c>
      <c r="AF24" s="75" t="n">
        <f aca="false">IF(AND(AF$5&gt;$F24,AF$5&lt;=$G24),IF($K24="Sí",2,1),IF(AND($D24=0,AF$5=$G24),3,""))</f>
        <v>2</v>
      </c>
      <c r="AG24" s="75" t="n">
        <f aca="false">IF(AND(AG$5&gt;$F24,AG$5&lt;=$G24),IF($K24="Sí",2,1),IF(AND($D24=0,AG$5=$G24),3,""))</f>
        <v>2</v>
      </c>
      <c r="AH24" s="75" t="n">
        <f aca="false">IF(AND(AH$5&gt;$F24,AH$5&lt;=$G24),IF($K24="Sí",2,1),IF(AND($D24=0,AH$5=$G24),3,""))</f>
        <v>2</v>
      </c>
      <c r="AI24" s="75" t="n">
        <f aca="false">IF(AND(AI$5&gt;$F24,AI$5&lt;=$G24),IF($K24="Sí",2,1),IF(AND($D24=0,AI$5=$G24),3,""))</f>
        <v>2</v>
      </c>
      <c r="AJ24" s="75" t="n">
        <f aca="false">IF(AND(AJ$5&gt;$F24,AJ$5&lt;=$G24),IF($K24="Sí",2,1),IF(AND($D24=0,AJ$5=$G24),3,""))</f>
        <v>2</v>
      </c>
      <c r="AK24" s="75" t="n">
        <f aca="false">IF(AND(AK$5&gt;$F24,AK$5&lt;=$G24),IF($K24="Sí",2,1),IF(AND($D24=0,AK$5=$G24),3,""))</f>
        <v>2</v>
      </c>
      <c r="AL24" s="75" t="n">
        <f aca="false">IF(AND(AL$5&gt;$F24,AL$5&lt;=$G24),IF($K24="Sí",2,1),IF(AND($D24=0,AL$5=$G24),3,""))</f>
        <v>2</v>
      </c>
      <c r="AM24" s="75" t="n">
        <f aca="false">IF(AND(AM$5&gt;$F24,AM$5&lt;=$G24),IF($K24="Sí",2,1),IF(AND($D24=0,AM$5=$G24),3,""))</f>
        <v>2</v>
      </c>
      <c r="AN24" s="75" t="n">
        <f aca="false">IF(AND(AN$5&gt;$F24,AN$5&lt;=$G24),IF($K24="Sí",2,1),IF(AND($D24=0,AN$5=$G24),3,""))</f>
        <v>2</v>
      </c>
      <c r="AO24" s="75" t="n">
        <f aca="false">IF(AND(AO$5&gt;$F24,AO$5&lt;=$G24),IF($K24="Sí",2,1),IF(AND($D24=0,AO$5=$G24),3,""))</f>
        <v>2</v>
      </c>
      <c r="AP24" s="75" t="n">
        <f aca="false">IF(AND(AP$5&gt;$F24,AP$5&lt;=$G24),IF($K24="Sí",2,1),IF(AND($D24=0,AP$5=$G24),3,""))</f>
        <v>2</v>
      </c>
      <c r="AQ24" s="75" t="n">
        <f aca="false">IF(AND(AQ$5&gt;$F24,AQ$5&lt;=$G24),IF($K24="Sí",2,1),IF(AND($D24=0,AQ$5=$G24),3,""))</f>
        <v>2</v>
      </c>
      <c r="AR24" s="75" t="n">
        <f aca="false">IF(AND(AR$5&gt;$F24,AR$5&lt;=$G24),IF($K24="Sí",2,1),IF(AND($D24=0,AR$5=$G24),3,""))</f>
        <v>2</v>
      </c>
      <c r="AS24" s="75" t="n">
        <f aca="false">IF(AND(AS$5&gt;$F24,AS$5&lt;=$G24),IF($K24="Sí",2,1),IF(AND($D24=0,AS$5=$G24),3,""))</f>
        <v>2</v>
      </c>
      <c r="AT24" s="75" t="n">
        <f aca="false">IF(AND(AT$5&gt;$F24,AT$5&lt;=$G24),IF($K24="Sí",2,1),IF(AND($D24=0,AT$5=$G24),3,""))</f>
        <v>2</v>
      </c>
      <c r="AU24" s="75" t="n">
        <f aca="false">IF(AND(AU$5&gt;$F24,AU$5&lt;=$G24),IF($K24="Sí",2,1),IF(AND($D24=0,AU$5=$G24),3,""))</f>
        <v>2</v>
      </c>
      <c r="AV24" s="75" t="n">
        <f aca="false">IF(AND(AV$5&gt;$F24,AV$5&lt;=$G24),IF($K24="Sí",2,1),IF(AND($D24=0,AV$5=$G24),3,""))</f>
        <v>2</v>
      </c>
      <c r="AW24" s="75" t="str">
        <f aca="false">IF(AND(AW$5&gt;$F24,AW$5&lt;=$G24),IF($K24="Sí",2,1),IF(AND($D24=0,AW$5=$G24),3,""))</f>
        <v/>
      </c>
      <c r="AX24" s="75" t="str">
        <f aca="false">IF(AND(AX$5&gt;$F24,AX$5&lt;=$G24),IF($K24="Sí",2,1),IF(AND($D24=0,AX$5=$G24),3,""))</f>
        <v/>
      </c>
      <c r="AY24" s="75" t="str">
        <f aca="false">IF(AND(AY$5&gt;$F24,AY$5&lt;=$G24),IF($K24="Sí",2,1),IF(AND($D24=0,AY$5=$G24),3,""))</f>
        <v/>
      </c>
      <c r="AZ24" s="75" t="str">
        <f aca="false">IF(AND(AZ$5&gt;$F24,AZ$5&lt;=$G24),IF($K24="Sí",2,1),IF(AND($D24=0,AZ$5=$G24),3,""))</f>
        <v/>
      </c>
      <c r="BA24" s="75" t="str">
        <f aca="false">IF(AND(BA$5&gt;$F24,BA$5&lt;=$G24),IF($K24="Sí",2,1),IF(AND($D24=0,BA$5=$G24),3,""))</f>
        <v/>
      </c>
      <c r="BB24" s="75" t="str">
        <f aca="false">IF(AND(BB$5&gt;$F24,BB$5&lt;=$G24),IF($K24="Sí",2,1),IF(AND($D24=0,BB$5=$G24),3,""))</f>
        <v/>
      </c>
      <c r="BC24" s="75" t="str">
        <f aca="false">IF(AND(BC$5&gt;$F24,BC$5&lt;=$G24),IF($K24="Sí",2,1),IF(AND($D24=0,BC$5=$G24),3,""))</f>
        <v/>
      </c>
      <c r="BD24" s="75" t="str">
        <f aca="false">IF(AND(BD$5&gt;$F24,BD$5&lt;=$G24),IF($K24="Sí",2,1),IF(AND($D24=0,BD$5=$G24),3,""))</f>
        <v/>
      </c>
      <c r="BE24" s="75" t="str">
        <f aca="false">IF(AND(BE$5&gt;$F24,BE$5&lt;=$G24),IF($K24="Sí",2,1),IF(AND($D24=0,BE$5=$G24),3,""))</f>
        <v/>
      </c>
      <c r="BF24" s="75" t="str">
        <f aca="false">IF(AND(BF$5&gt;$F24,BF$5&lt;=$G24),IF($K24="Sí",2,1),IF(AND($D24=0,BF$5=$G24),3,""))</f>
        <v/>
      </c>
      <c r="BG24" s="75" t="str">
        <f aca="false">IF(AND(BG$5&gt;$F24,BG$5&lt;=$G24),IF($K24="Sí",2,1),IF(AND($D24=0,BG$5=$G24),3,""))</f>
        <v/>
      </c>
      <c r="BH24" s="75" t="str">
        <f aca="false">IF(AND(BH$5&gt;$F24,BH$5&lt;=$G24),IF($K24="Sí",2,1),IF(AND($D24=0,BH$5=$G24),3,""))</f>
        <v/>
      </c>
      <c r="BI24" s="75" t="str">
        <f aca="false">IF(AND(BI$5&gt;$F24,BI$5&lt;=$G24),IF($K24="Sí",2,1),IF(AND($D24=0,BI$5=$G24),3,""))</f>
        <v/>
      </c>
      <c r="BJ24" s="75" t="str">
        <f aca="false">IF(AND(BJ$5&gt;$F24,BJ$5&lt;=$G24),IF($K24="Sí",2,1),IF(AND($D24=0,BJ$5=$G24),3,""))</f>
        <v/>
      </c>
      <c r="BK24" s="75" t="str">
        <f aca="false">IF(AND(BK$5&gt;$F24,BK$5&lt;=$G24),IF($K24="Sí",2,1),IF(AND($D24=0,BK$5=$G24),3,""))</f>
        <v/>
      </c>
      <c r="BL24" s="75" t="str">
        <f aca="false">IF(AND(BL$5&gt;$F24,BL$5&lt;=$G24),IF($K24="Sí",2,1),IF(AND($D24=0,BL$5=$G24),3,""))</f>
        <v/>
      </c>
      <c r="BM24" s="75" t="str">
        <f aca="false">IF(AND(BM$5&gt;$F24,BM$5&lt;=$G24),IF($K24="Sí",2,1),IF(AND($D24=0,BM$5=$G24),3,""))</f>
        <v/>
      </c>
      <c r="BN24" s="75" t="str">
        <f aca="false">IF(AND(BN$5&gt;$F24,BN$5&lt;=$G24),IF($K24="Sí",2,1),IF(AND($D24=0,BN$5=$G24),3,""))</f>
        <v/>
      </c>
      <c r="BO24" s="75" t="str">
        <f aca="false">IF(AND(BO$5&gt;$F24,BO$5&lt;=$G24),IF($K24="Sí",2,1),IF(AND($D24=0,BO$5=$G24),3,""))</f>
        <v/>
      </c>
      <c r="BQ24" s="59" t="n">
        <v>28</v>
      </c>
      <c r="BR24" s="59" t="n">
        <v>0</v>
      </c>
      <c r="BS24" s="59" t="n">
        <v>0</v>
      </c>
      <c r="BT24" s="59" t="n">
        <v>0</v>
      </c>
      <c r="BU24" s="59" t="n">
        <v>92</v>
      </c>
      <c r="BV24" s="59" t="n">
        <v>0</v>
      </c>
      <c r="BW24" s="76" t="n">
        <f aca="false">L24-120</f>
        <v>0</v>
      </c>
      <c r="BX24" s="77" t="n">
        <f aca="false">IF($D24=0,0,BQ24/$D24)</f>
        <v>1.4</v>
      </c>
      <c r="BY24" s="77" t="n">
        <f aca="false">IF($D24=0,0,BR24/$D24)</f>
        <v>0</v>
      </c>
      <c r="BZ24" s="77" t="n">
        <f aca="false">IF($D24=0,0,BS24/$D24)</f>
        <v>0</v>
      </c>
      <c r="CA24" s="77" t="n">
        <f aca="false">IF($D24=0,0,BT24/$D24)</f>
        <v>0</v>
      </c>
      <c r="CB24" s="77" t="n">
        <f aca="false">IF($D24=0,0,BU24/$D24)</f>
        <v>4.6</v>
      </c>
      <c r="CC24" s="77" t="n">
        <f aca="false">IF($D24=0,0,BV24/$D24)</f>
        <v>0</v>
      </c>
    </row>
    <row r="25" customFormat="false" ht="15" hidden="false" customHeight="true" outlineLevel="0" collapsed="false">
      <c r="A25" s="7" t="s">
        <v>992</v>
      </c>
      <c r="B25" s="7" t="s">
        <v>1419</v>
      </c>
      <c r="C25" s="7" t="s">
        <v>1406</v>
      </c>
      <c r="D25" s="30" t="n">
        <v>10</v>
      </c>
      <c r="E25" s="7" t="s">
        <v>1420</v>
      </c>
      <c r="F25" s="32" t="n">
        <f aca="false">MAX(G17,G15)+Q25</f>
        <v>16</v>
      </c>
      <c r="G25" s="32" t="n">
        <f aca="false">F25+D25</f>
        <v>26</v>
      </c>
      <c r="H25" s="32" t="n">
        <f aca="false">I25-D25</f>
        <v>17</v>
      </c>
      <c r="I25" s="32" t="n">
        <f aca="false">MIN(H26,H36)</f>
        <v>27</v>
      </c>
      <c r="J25" s="32" t="n">
        <f aca="false">H25-F25</f>
        <v>1</v>
      </c>
      <c r="K25" s="71" t="str">
        <f aca="false">IF(J25=0,"Sí","")</f>
        <v/>
      </c>
      <c r="L25" s="72" t="n">
        <f aca="false">SUM(BQ25:BV25)</f>
        <v>80</v>
      </c>
      <c r="M25" s="33" t="n">
        <f aca="false">SUMIFS(Cotizaciones!$J$5:$J$70,Cotizaciones!$C$5:$C$70,A25)</f>
        <v>763836156.6</v>
      </c>
      <c r="N25" s="32" t="n">
        <f aca="false">(L25*Supuestos!$B$47+M25*(1+Supuestos!$B$50))*(1+Supuestos!$B$51)/(1-Supuestos!$B$52)</f>
        <v>922950563.075101</v>
      </c>
      <c r="O25" s="73" t="n">
        <f aca="false">$C$3+F25*7</f>
        <v>46510</v>
      </c>
      <c r="P25" s="73" t="n">
        <f aca="false">$C$3+G25*7-IF(D25&gt;0,1,0)</f>
        <v>46579</v>
      </c>
      <c r="Q25" s="74" t="n">
        <v>0</v>
      </c>
      <c r="R25" s="75" t="str">
        <f aca="false">IF(AND(R$5&gt;$F25,R$5&lt;=$G25),IF($K25="Sí",2,1),IF(AND($D25=0,R$5=$G25),3,""))</f>
        <v/>
      </c>
      <c r="S25" s="75" t="str">
        <f aca="false">IF(AND(S$5&gt;$F25,S$5&lt;=$G25),IF($K25="Sí",2,1),IF(AND($D25=0,S$5=$G25),3,""))</f>
        <v/>
      </c>
      <c r="T25" s="75" t="str">
        <f aca="false">IF(AND(T$5&gt;$F25,T$5&lt;=$G25),IF($K25="Sí",2,1),IF(AND($D25=0,T$5=$G25),3,""))</f>
        <v/>
      </c>
      <c r="U25" s="75" t="str">
        <f aca="false">IF(AND(U$5&gt;$F25,U$5&lt;=$G25),IF($K25="Sí",2,1),IF(AND($D25=0,U$5=$G25),3,""))</f>
        <v/>
      </c>
      <c r="V25" s="75" t="str">
        <f aca="false">IF(AND(V$5&gt;$F25,V$5&lt;=$G25),IF($K25="Sí",2,1),IF(AND($D25=0,V$5=$G25),3,""))</f>
        <v/>
      </c>
      <c r="W25" s="75" t="str">
        <f aca="false">IF(AND(W$5&gt;$F25,W$5&lt;=$G25),IF($K25="Sí",2,1),IF(AND($D25=0,W$5=$G25),3,""))</f>
        <v/>
      </c>
      <c r="X25" s="75" t="str">
        <f aca="false">IF(AND(X$5&gt;$F25,X$5&lt;=$G25),IF($K25="Sí",2,1),IF(AND($D25=0,X$5=$G25),3,""))</f>
        <v/>
      </c>
      <c r="Y25" s="75" t="str">
        <f aca="false">IF(AND(Y$5&gt;$F25,Y$5&lt;=$G25),IF($K25="Sí",2,1),IF(AND($D25=0,Y$5=$G25),3,""))</f>
        <v/>
      </c>
      <c r="Z25" s="75" t="str">
        <f aca="false">IF(AND(Z$5&gt;$F25,Z$5&lt;=$G25),IF($K25="Sí",2,1),IF(AND($D25=0,Z$5=$G25),3,""))</f>
        <v/>
      </c>
      <c r="AA25" s="75" t="str">
        <f aca="false">IF(AND(AA$5&gt;$F25,AA$5&lt;=$G25),IF($K25="Sí",2,1),IF(AND($D25=0,AA$5=$G25),3,""))</f>
        <v/>
      </c>
      <c r="AB25" s="75" t="str">
        <f aca="false">IF(AND(AB$5&gt;$F25,AB$5&lt;=$G25),IF($K25="Sí",2,1),IF(AND($D25=0,AB$5=$G25),3,""))</f>
        <v/>
      </c>
      <c r="AC25" s="75" t="str">
        <f aca="false">IF(AND(AC$5&gt;$F25,AC$5&lt;=$G25),IF($K25="Sí",2,1),IF(AND($D25=0,AC$5=$G25),3,""))</f>
        <v/>
      </c>
      <c r="AD25" s="75" t="str">
        <f aca="false">IF(AND(AD$5&gt;$F25,AD$5&lt;=$G25),IF($K25="Sí",2,1),IF(AND($D25=0,AD$5=$G25),3,""))</f>
        <v/>
      </c>
      <c r="AE25" s="75" t="str">
        <f aca="false">IF(AND(AE$5&gt;$F25,AE$5&lt;=$G25),IF($K25="Sí",2,1),IF(AND($D25=0,AE$5=$G25),3,""))</f>
        <v/>
      </c>
      <c r="AF25" s="75" t="str">
        <f aca="false">IF(AND(AF$5&gt;$F25,AF$5&lt;=$G25),IF($K25="Sí",2,1),IF(AND($D25=0,AF$5=$G25),3,""))</f>
        <v/>
      </c>
      <c r="AG25" s="75" t="str">
        <f aca="false">IF(AND(AG$5&gt;$F25,AG$5&lt;=$G25),IF($K25="Sí",2,1),IF(AND($D25=0,AG$5=$G25),3,""))</f>
        <v/>
      </c>
      <c r="AH25" s="75" t="n">
        <f aca="false">IF(AND(AH$5&gt;$F25,AH$5&lt;=$G25),IF($K25="Sí",2,1),IF(AND($D25=0,AH$5=$G25),3,""))</f>
        <v>1</v>
      </c>
      <c r="AI25" s="75" t="n">
        <f aca="false">IF(AND(AI$5&gt;$F25,AI$5&lt;=$G25),IF($K25="Sí",2,1),IF(AND($D25=0,AI$5=$G25),3,""))</f>
        <v>1</v>
      </c>
      <c r="AJ25" s="75" t="n">
        <f aca="false">IF(AND(AJ$5&gt;$F25,AJ$5&lt;=$G25),IF($K25="Sí",2,1),IF(AND($D25=0,AJ$5=$G25),3,""))</f>
        <v>1</v>
      </c>
      <c r="AK25" s="75" t="n">
        <f aca="false">IF(AND(AK$5&gt;$F25,AK$5&lt;=$G25),IF($K25="Sí",2,1),IF(AND($D25=0,AK$5=$G25),3,""))</f>
        <v>1</v>
      </c>
      <c r="AL25" s="75" t="n">
        <f aca="false">IF(AND(AL$5&gt;$F25,AL$5&lt;=$G25),IF($K25="Sí",2,1),IF(AND($D25=0,AL$5=$G25),3,""))</f>
        <v>1</v>
      </c>
      <c r="AM25" s="75" t="n">
        <f aca="false">IF(AND(AM$5&gt;$F25,AM$5&lt;=$G25),IF($K25="Sí",2,1),IF(AND($D25=0,AM$5=$G25),3,""))</f>
        <v>1</v>
      </c>
      <c r="AN25" s="75" t="n">
        <f aca="false">IF(AND(AN$5&gt;$F25,AN$5&lt;=$G25),IF($K25="Sí",2,1),IF(AND($D25=0,AN$5=$G25),3,""))</f>
        <v>1</v>
      </c>
      <c r="AO25" s="75" t="n">
        <f aca="false">IF(AND(AO$5&gt;$F25,AO$5&lt;=$G25),IF($K25="Sí",2,1),IF(AND($D25=0,AO$5=$G25),3,""))</f>
        <v>1</v>
      </c>
      <c r="AP25" s="75" t="n">
        <f aca="false">IF(AND(AP$5&gt;$F25,AP$5&lt;=$G25),IF($K25="Sí",2,1),IF(AND($D25=0,AP$5=$G25),3,""))</f>
        <v>1</v>
      </c>
      <c r="AQ25" s="75" t="n">
        <f aca="false">IF(AND(AQ$5&gt;$F25,AQ$5&lt;=$G25),IF($K25="Sí",2,1),IF(AND($D25=0,AQ$5=$G25),3,""))</f>
        <v>1</v>
      </c>
      <c r="AR25" s="75" t="str">
        <f aca="false">IF(AND(AR$5&gt;$F25,AR$5&lt;=$G25),IF($K25="Sí",2,1),IF(AND($D25=0,AR$5=$G25),3,""))</f>
        <v/>
      </c>
      <c r="AS25" s="75" t="str">
        <f aca="false">IF(AND(AS$5&gt;$F25,AS$5&lt;=$G25),IF($K25="Sí",2,1),IF(AND($D25=0,AS$5=$G25),3,""))</f>
        <v/>
      </c>
      <c r="AT25" s="75" t="str">
        <f aca="false">IF(AND(AT$5&gt;$F25,AT$5&lt;=$G25),IF($K25="Sí",2,1),IF(AND($D25=0,AT$5=$G25),3,""))</f>
        <v/>
      </c>
      <c r="AU25" s="75" t="str">
        <f aca="false">IF(AND(AU$5&gt;$F25,AU$5&lt;=$G25),IF($K25="Sí",2,1),IF(AND($D25=0,AU$5=$G25),3,""))</f>
        <v/>
      </c>
      <c r="AV25" s="75" t="str">
        <f aca="false">IF(AND(AV$5&gt;$F25,AV$5&lt;=$G25),IF($K25="Sí",2,1),IF(AND($D25=0,AV$5=$G25),3,""))</f>
        <v/>
      </c>
      <c r="AW25" s="75" t="str">
        <f aca="false">IF(AND(AW$5&gt;$F25,AW$5&lt;=$G25),IF($K25="Sí",2,1),IF(AND($D25=0,AW$5=$G25),3,""))</f>
        <v/>
      </c>
      <c r="AX25" s="75" t="str">
        <f aca="false">IF(AND(AX$5&gt;$F25,AX$5&lt;=$G25),IF($K25="Sí",2,1),IF(AND($D25=0,AX$5=$G25),3,""))</f>
        <v/>
      </c>
      <c r="AY25" s="75" t="str">
        <f aca="false">IF(AND(AY$5&gt;$F25,AY$5&lt;=$G25),IF($K25="Sí",2,1),IF(AND($D25=0,AY$5=$G25),3,""))</f>
        <v/>
      </c>
      <c r="AZ25" s="75" t="str">
        <f aca="false">IF(AND(AZ$5&gt;$F25,AZ$5&lt;=$G25),IF($K25="Sí",2,1),IF(AND($D25=0,AZ$5=$G25),3,""))</f>
        <v/>
      </c>
      <c r="BA25" s="75" t="str">
        <f aca="false">IF(AND(BA$5&gt;$F25,BA$5&lt;=$G25),IF($K25="Sí",2,1),IF(AND($D25=0,BA$5=$G25),3,""))</f>
        <v/>
      </c>
      <c r="BB25" s="75" t="str">
        <f aca="false">IF(AND(BB$5&gt;$F25,BB$5&lt;=$G25),IF($K25="Sí",2,1),IF(AND($D25=0,BB$5=$G25),3,""))</f>
        <v/>
      </c>
      <c r="BC25" s="75" t="str">
        <f aca="false">IF(AND(BC$5&gt;$F25,BC$5&lt;=$G25),IF($K25="Sí",2,1),IF(AND($D25=0,BC$5=$G25),3,""))</f>
        <v/>
      </c>
      <c r="BD25" s="75" t="str">
        <f aca="false">IF(AND(BD$5&gt;$F25,BD$5&lt;=$G25),IF($K25="Sí",2,1),IF(AND($D25=0,BD$5=$G25),3,""))</f>
        <v/>
      </c>
      <c r="BE25" s="75" t="str">
        <f aca="false">IF(AND(BE$5&gt;$F25,BE$5&lt;=$G25),IF($K25="Sí",2,1),IF(AND($D25=0,BE$5=$G25),3,""))</f>
        <v/>
      </c>
      <c r="BF25" s="75" t="str">
        <f aca="false">IF(AND(BF$5&gt;$F25,BF$5&lt;=$G25),IF($K25="Sí",2,1),IF(AND($D25=0,BF$5=$G25),3,""))</f>
        <v/>
      </c>
      <c r="BG25" s="75" t="str">
        <f aca="false">IF(AND(BG$5&gt;$F25,BG$5&lt;=$G25),IF($K25="Sí",2,1),IF(AND($D25=0,BG$5=$G25),3,""))</f>
        <v/>
      </c>
      <c r="BH25" s="75" t="str">
        <f aca="false">IF(AND(BH$5&gt;$F25,BH$5&lt;=$G25),IF($K25="Sí",2,1),IF(AND($D25=0,BH$5=$G25),3,""))</f>
        <v/>
      </c>
      <c r="BI25" s="75" t="str">
        <f aca="false">IF(AND(BI$5&gt;$F25,BI$5&lt;=$G25),IF($K25="Sí",2,1),IF(AND($D25=0,BI$5=$G25),3,""))</f>
        <v/>
      </c>
      <c r="BJ25" s="75" t="str">
        <f aca="false">IF(AND(BJ$5&gt;$F25,BJ$5&lt;=$G25),IF($K25="Sí",2,1),IF(AND($D25=0,BJ$5=$G25),3,""))</f>
        <v/>
      </c>
      <c r="BK25" s="75" t="str">
        <f aca="false">IF(AND(BK$5&gt;$F25,BK$5&lt;=$G25),IF($K25="Sí",2,1),IF(AND($D25=0,BK$5=$G25),3,""))</f>
        <v/>
      </c>
      <c r="BL25" s="75" t="str">
        <f aca="false">IF(AND(BL$5&gt;$F25,BL$5&lt;=$G25),IF($K25="Sí",2,1),IF(AND($D25=0,BL$5=$G25),3,""))</f>
        <v/>
      </c>
      <c r="BM25" s="75" t="str">
        <f aca="false">IF(AND(BM$5&gt;$F25,BM$5&lt;=$G25),IF($K25="Sí",2,1),IF(AND($D25=0,BM$5=$G25),3,""))</f>
        <v/>
      </c>
      <c r="BN25" s="75" t="str">
        <f aca="false">IF(AND(BN$5&gt;$F25,BN$5&lt;=$G25),IF($K25="Sí",2,1),IF(AND($D25=0,BN$5=$G25),3,""))</f>
        <v/>
      </c>
      <c r="BO25" s="75" t="str">
        <f aca="false">IF(AND(BO$5&gt;$F25,BO$5&lt;=$G25),IF($K25="Sí",2,1),IF(AND($D25=0,BO$5=$G25),3,""))</f>
        <v/>
      </c>
      <c r="BQ25" s="59" t="n">
        <v>80</v>
      </c>
      <c r="BR25" s="59" t="n">
        <v>0</v>
      </c>
      <c r="BS25" s="59" t="n">
        <v>0</v>
      </c>
      <c r="BT25" s="59" t="n">
        <v>0</v>
      </c>
      <c r="BU25" s="59" t="n">
        <v>0</v>
      </c>
      <c r="BV25" s="59" t="n">
        <v>0</v>
      </c>
      <c r="BW25" s="76" t="n">
        <f aca="false">L25-80</f>
        <v>0</v>
      </c>
      <c r="BX25" s="77" t="n">
        <f aca="false">IF($D25=0,0,BQ25/$D25)</f>
        <v>8</v>
      </c>
      <c r="BY25" s="77" t="n">
        <f aca="false">IF($D25=0,0,BR25/$D25)</f>
        <v>0</v>
      </c>
      <c r="BZ25" s="77" t="n">
        <f aca="false">IF($D25=0,0,BS25/$D25)</f>
        <v>0</v>
      </c>
      <c r="CA25" s="77" t="n">
        <f aca="false">IF($D25=0,0,BT25/$D25)</f>
        <v>0</v>
      </c>
      <c r="CB25" s="77" t="n">
        <f aca="false">IF($D25=0,0,BU25/$D25)</f>
        <v>0</v>
      </c>
      <c r="CC25" s="77" t="n">
        <f aca="false">IF($D25=0,0,BV25/$D25)</f>
        <v>0</v>
      </c>
    </row>
    <row r="26" customFormat="false" ht="15" hidden="false" customHeight="true" outlineLevel="0" collapsed="false">
      <c r="A26" s="7" t="s">
        <v>1077</v>
      </c>
      <c r="B26" s="7" t="s">
        <v>1421</v>
      </c>
      <c r="C26" s="7" t="s">
        <v>1397</v>
      </c>
      <c r="D26" s="30" t="n">
        <v>6</v>
      </c>
      <c r="E26" s="7" t="s">
        <v>992</v>
      </c>
      <c r="F26" s="32" t="n">
        <f aca="false">MAX(G25)+Q26</f>
        <v>26</v>
      </c>
      <c r="G26" s="32" t="n">
        <f aca="false">F26+D26</f>
        <v>32</v>
      </c>
      <c r="H26" s="32" t="n">
        <f aca="false">I26-D26</f>
        <v>27</v>
      </c>
      <c r="I26" s="32" t="n">
        <f aca="false">MIN(H34)</f>
        <v>33</v>
      </c>
      <c r="J26" s="32" t="n">
        <f aca="false">H26-F26</f>
        <v>1</v>
      </c>
      <c r="K26" s="71" t="str">
        <f aca="false">IF(J26=0,"Sí","")</f>
        <v/>
      </c>
      <c r="L26" s="72" t="n">
        <f aca="false">SUM(BQ26:BV26)</f>
        <v>120</v>
      </c>
      <c r="M26" s="33" t="n">
        <f aca="false">SUMIFS(Cotizaciones!$J$5:$J$70,Cotizaciones!$C$5:$C$70,A26)</f>
        <v>225000000</v>
      </c>
      <c r="N26" s="32" t="n">
        <f aca="false">(L26*Supuestos!$B$47+M26*(1+Supuestos!$B$50))*(1+Supuestos!$B$51)/(1-Supuestos!$B$52)</f>
        <v>287535425.101215</v>
      </c>
      <c r="O26" s="73" t="n">
        <f aca="false">$C$3+F26*7</f>
        <v>46580</v>
      </c>
      <c r="P26" s="73" t="n">
        <f aca="false">$C$3+G26*7-IF(D26&gt;0,1,0)</f>
        <v>46621</v>
      </c>
      <c r="Q26" s="74" t="n">
        <v>0</v>
      </c>
      <c r="R26" s="75" t="str">
        <f aca="false">IF(AND(R$5&gt;$F26,R$5&lt;=$G26),IF($K26="Sí",2,1),IF(AND($D26=0,R$5=$G26),3,""))</f>
        <v/>
      </c>
      <c r="S26" s="75" t="str">
        <f aca="false">IF(AND(S$5&gt;$F26,S$5&lt;=$G26),IF($K26="Sí",2,1),IF(AND($D26=0,S$5=$G26),3,""))</f>
        <v/>
      </c>
      <c r="T26" s="75" t="str">
        <f aca="false">IF(AND(T$5&gt;$F26,T$5&lt;=$G26),IF($K26="Sí",2,1),IF(AND($D26=0,T$5=$G26),3,""))</f>
        <v/>
      </c>
      <c r="U26" s="75" t="str">
        <f aca="false">IF(AND(U$5&gt;$F26,U$5&lt;=$G26),IF($K26="Sí",2,1),IF(AND($D26=0,U$5=$G26),3,""))</f>
        <v/>
      </c>
      <c r="V26" s="75" t="str">
        <f aca="false">IF(AND(V$5&gt;$F26,V$5&lt;=$G26),IF($K26="Sí",2,1),IF(AND($D26=0,V$5=$G26),3,""))</f>
        <v/>
      </c>
      <c r="W26" s="75" t="str">
        <f aca="false">IF(AND(W$5&gt;$F26,W$5&lt;=$G26),IF($K26="Sí",2,1),IF(AND($D26=0,W$5=$G26),3,""))</f>
        <v/>
      </c>
      <c r="X26" s="75" t="str">
        <f aca="false">IF(AND(X$5&gt;$F26,X$5&lt;=$G26),IF($K26="Sí",2,1),IF(AND($D26=0,X$5=$G26),3,""))</f>
        <v/>
      </c>
      <c r="Y26" s="75" t="str">
        <f aca="false">IF(AND(Y$5&gt;$F26,Y$5&lt;=$G26),IF($K26="Sí",2,1),IF(AND($D26=0,Y$5=$G26),3,""))</f>
        <v/>
      </c>
      <c r="Z26" s="75" t="str">
        <f aca="false">IF(AND(Z$5&gt;$F26,Z$5&lt;=$G26),IF($K26="Sí",2,1),IF(AND($D26=0,Z$5=$G26),3,""))</f>
        <v/>
      </c>
      <c r="AA26" s="75" t="str">
        <f aca="false">IF(AND(AA$5&gt;$F26,AA$5&lt;=$G26),IF($K26="Sí",2,1),IF(AND($D26=0,AA$5=$G26),3,""))</f>
        <v/>
      </c>
      <c r="AB26" s="75" t="str">
        <f aca="false">IF(AND(AB$5&gt;$F26,AB$5&lt;=$G26),IF($K26="Sí",2,1),IF(AND($D26=0,AB$5=$G26),3,""))</f>
        <v/>
      </c>
      <c r="AC26" s="75" t="str">
        <f aca="false">IF(AND(AC$5&gt;$F26,AC$5&lt;=$G26),IF($K26="Sí",2,1),IF(AND($D26=0,AC$5=$G26),3,""))</f>
        <v/>
      </c>
      <c r="AD26" s="75" t="str">
        <f aca="false">IF(AND(AD$5&gt;$F26,AD$5&lt;=$G26),IF($K26="Sí",2,1),IF(AND($D26=0,AD$5=$G26),3,""))</f>
        <v/>
      </c>
      <c r="AE26" s="75" t="str">
        <f aca="false">IF(AND(AE$5&gt;$F26,AE$5&lt;=$G26),IF($K26="Sí",2,1),IF(AND($D26=0,AE$5=$G26),3,""))</f>
        <v/>
      </c>
      <c r="AF26" s="75" t="str">
        <f aca="false">IF(AND(AF$5&gt;$F26,AF$5&lt;=$G26),IF($K26="Sí",2,1),IF(AND($D26=0,AF$5=$G26),3,""))</f>
        <v/>
      </c>
      <c r="AG26" s="75" t="str">
        <f aca="false">IF(AND(AG$5&gt;$F26,AG$5&lt;=$G26),IF($K26="Sí",2,1),IF(AND($D26=0,AG$5=$G26),3,""))</f>
        <v/>
      </c>
      <c r="AH26" s="75" t="str">
        <f aca="false">IF(AND(AH$5&gt;$F26,AH$5&lt;=$G26),IF($K26="Sí",2,1),IF(AND($D26=0,AH$5=$G26),3,""))</f>
        <v/>
      </c>
      <c r="AI26" s="75" t="str">
        <f aca="false">IF(AND(AI$5&gt;$F26,AI$5&lt;=$G26),IF($K26="Sí",2,1),IF(AND($D26=0,AI$5=$G26),3,""))</f>
        <v/>
      </c>
      <c r="AJ26" s="75" t="str">
        <f aca="false">IF(AND(AJ$5&gt;$F26,AJ$5&lt;=$G26),IF($K26="Sí",2,1),IF(AND($D26=0,AJ$5=$G26),3,""))</f>
        <v/>
      </c>
      <c r="AK26" s="75" t="str">
        <f aca="false">IF(AND(AK$5&gt;$F26,AK$5&lt;=$G26),IF($K26="Sí",2,1),IF(AND($D26=0,AK$5=$G26),3,""))</f>
        <v/>
      </c>
      <c r="AL26" s="75" t="str">
        <f aca="false">IF(AND(AL$5&gt;$F26,AL$5&lt;=$G26),IF($K26="Sí",2,1),IF(AND($D26=0,AL$5=$G26),3,""))</f>
        <v/>
      </c>
      <c r="AM26" s="75" t="str">
        <f aca="false">IF(AND(AM$5&gt;$F26,AM$5&lt;=$G26),IF($K26="Sí",2,1),IF(AND($D26=0,AM$5=$G26),3,""))</f>
        <v/>
      </c>
      <c r="AN26" s="75" t="str">
        <f aca="false">IF(AND(AN$5&gt;$F26,AN$5&lt;=$G26),IF($K26="Sí",2,1),IF(AND($D26=0,AN$5=$G26),3,""))</f>
        <v/>
      </c>
      <c r="AO26" s="75" t="str">
        <f aca="false">IF(AND(AO$5&gt;$F26,AO$5&lt;=$G26),IF($K26="Sí",2,1),IF(AND($D26=0,AO$5=$G26),3,""))</f>
        <v/>
      </c>
      <c r="AP26" s="75" t="str">
        <f aca="false">IF(AND(AP$5&gt;$F26,AP$5&lt;=$G26),IF($K26="Sí",2,1),IF(AND($D26=0,AP$5=$G26),3,""))</f>
        <v/>
      </c>
      <c r="AQ26" s="75" t="str">
        <f aca="false">IF(AND(AQ$5&gt;$F26,AQ$5&lt;=$G26),IF($K26="Sí",2,1),IF(AND($D26=0,AQ$5=$G26),3,""))</f>
        <v/>
      </c>
      <c r="AR26" s="75" t="n">
        <f aca="false">IF(AND(AR$5&gt;$F26,AR$5&lt;=$G26),IF($K26="Sí",2,1),IF(AND($D26=0,AR$5=$G26),3,""))</f>
        <v>1</v>
      </c>
      <c r="AS26" s="75" t="n">
        <f aca="false">IF(AND(AS$5&gt;$F26,AS$5&lt;=$G26),IF($K26="Sí",2,1),IF(AND($D26=0,AS$5=$G26),3,""))</f>
        <v>1</v>
      </c>
      <c r="AT26" s="75" t="n">
        <f aca="false">IF(AND(AT$5&gt;$F26,AT$5&lt;=$G26),IF($K26="Sí",2,1),IF(AND($D26=0,AT$5=$G26),3,""))</f>
        <v>1</v>
      </c>
      <c r="AU26" s="75" t="n">
        <f aca="false">IF(AND(AU$5&gt;$F26,AU$5&lt;=$G26),IF($K26="Sí",2,1),IF(AND($D26=0,AU$5=$G26),3,""))</f>
        <v>1</v>
      </c>
      <c r="AV26" s="75" t="n">
        <f aca="false">IF(AND(AV$5&gt;$F26,AV$5&lt;=$G26),IF($K26="Sí",2,1),IF(AND($D26=0,AV$5=$G26),3,""))</f>
        <v>1</v>
      </c>
      <c r="AW26" s="75" t="n">
        <f aca="false">IF(AND(AW$5&gt;$F26,AW$5&lt;=$G26),IF($K26="Sí",2,1),IF(AND($D26=0,AW$5=$G26),3,""))</f>
        <v>1</v>
      </c>
      <c r="AX26" s="75" t="str">
        <f aca="false">IF(AND(AX$5&gt;$F26,AX$5&lt;=$G26),IF($K26="Sí",2,1),IF(AND($D26=0,AX$5=$G26),3,""))</f>
        <v/>
      </c>
      <c r="AY26" s="75" t="str">
        <f aca="false">IF(AND(AY$5&gt;$F26,AY$5&lt;=$G26),IF($K26="Sí",2,1),IF(AND($D26=0,AY$5=$G26),3,""))</f>
        <v/>
      </c>
      <c r="AZ26" s="75" t="str">
        <f aca="false">IF(AND(AZ$5&gt;$F26,AZ$5&lt;=$G26),IF($K26="Sí",2,1),IF(AND($D26=0,AZ$5=$G26),3,""))</f>
        <v/>
      </c>
      <c r="BA26" s="75" t="str">
        <f aca="false">IF(AND(BA$5&gt;$F26,BA$5&lt;=$G26),IF($K26="Sí",2,1),IF(AND($D26=0,BA$5=$G26),3,""))</f>
        <v/>
      </c>
      <c r="BB26" s="75" t="str">
        <f aca="false">IF(AND(BB$5&gt;$F26,BB$5&lt;=$G26),IF($K26="Sí",2,1),IF(AND($D26=0,BB$5=$G26),3,""))</f>
        <v/>
      </c>
      <c r="BC26" s="75" t="str">
        <f aca="false">IF(AND(BC$5&gt;$F26,BC$5&lt;=$G26),IF($K26="Sí",2,1),IF(AND($D26=0,BC$5=$G26),3,""))</f>
        <v/>
      </c>
      <c r="BD26" s="75" t="str">
        <f aca="false">IF(AND(BD$5&gt;$F26,BD$5&lt;=$G26),IF($K26="Sí",2,1),IF(AND($D26=0,BD$5=$G26),3,""))</f>
        <v/>
      </c>
      <c r="BE26" s="75" t="str">
        <f aca="false">IF(AND(BE$5&gt;$F26,BE$5&lt;=$G26),IF($K26="Sí",2,1),IF(AND($D26=0,BE$5=$G26),3,""))</f>
        <v/>
      </c>
      <c r="BF26" s="75" t="str">
        <f aca="false">IF(AND(BF$5&gt;$F26,BF$5&lt;=$G26),IF($K26="Sí",2,1),IF(AND($D26=0,BF$5=$G26),3,""))</f>
        <v/>
      </c>
      <c r="BG26" s="75" t="str">
        <f aca="false">IF(AND(BG$5&gt;$F26,BG$5&lt;=$G26),IF($K26="Sí",2,1),IF(AND($D26=0,BG$5=$G26),3,""))</f>
        <v/>
      </c>
      <c r="BH26" s="75" t="str">
        <f aca="false">IF(AND(BH$5&gt;$F26,BH$5&lt;=$G26),IF($K26="Sí",2,1),IF(AND($D26=0,BH$5=$G26),3,""))</f>
        <v/>
      </c>
      <c r="BI26" s="75" t="str">
        <f aca="false">IF(AND(BI$5&gt;$F26,BI$5&lt;=$G26),IF($K26="Sí",2,1),IF(AND($D26=0,BI$5=$G26),3,""))</f>
        <v/>
      </c>
      <c r="BJ26" s="75" t="str">
        <f aca="false">IF(AND(BJ$5&gt;$F26,BJ$5&lt;=$G26),IF($K26="Sí",2,1),IF(AND($D26=0,BJ$5=$G26),3,""))</f>
        <v/>
      </c>
      <c r="BK26" s="75" t="str">
        <f aca="false">IF(AND(BK$5&gt;$F26,BK$5&lt;=$G26),IF($K26="Sí",2,1),IF(AND($D26=0,BK$5=$G26),3,""))</f>
        <v/>
      </c>
      <c r="BL26" s="75" t="str">
        <f aca="false">IF(AND(BL$5&gt;$F26,BL$5&lt;=$G26),IF($K26="Sí",2,1),IF(AND($D26=0,BL$5=$G26),3,""))</f>
        <v/>
      </c>
      <c r="BM26" s="75" t="str">
        <f aca="false">IF(AND(BM$5&gt;$F26,BM$5&lt;=$G26),IF($K26="Sí",2,1),IF(AND($D26=0,BM$5=$G26),3,""))</f>
        <v/>
      </c>
      <c r="BN26" s="75" t="str">
        <f aca="false">IF(AND(BN$5&gt;$F26,BN$5&lt;=$G26),IF($K26="Sí",2,1),IF(AND($D26=0,BN$5=$G26),3,""))</f>
        <v/>
      </c>
      <c r="BO26" s="75" t="str">
        <f aca="false">IF(AND(BO$5&gt;$F26,BO$5&lt;=$G26),IF($K26="Sí",2,1),IF(AND($D26=0,BO$5=$G26),3,""))</f>
        <v/>
      </c>
      <c r="BQ26" s="59" t="n">
        <v>0</v>
      </c>
      <c r="BR26" s="59" t="n">
        <v>0</v>
      </c>
      <c r="BS26" s="59" t="n">
        <v>33</v>
      </c>
      <c r="BT26" s="59" t="n">
        <v>0</v>
      </c>
      <c r="BU26" s="59" t="n">
        <v>87</v>
      </c>
      <c r="BV26" s="59" t="n">
        <v>0</v>
      </c>
      <c r="BW26" s="76" t="n">
        <f aca="false">L26-120</f>
        <v>0</v>
      </c>
      <c r="BX26" s="77" t="n">
        <f aca="false">IF($D26=0,0,BQ26/$D26)</f>
        <v>0</v>
      </c>
      <c r="BY26" s="77" t="n">
        <f aca="false">IF($D26=0,0,BR26/$D26)</f>
        <v>0</v>
      </c>
      <c r="BZ26" s="77" t="n">
        <f aca="false">IF($D26=0,0,BS26/$D26)</f>
        <v>5.5</v>
      </c>
      <c r="CA26" s="77" t="n">
        <f aca="false">IF($D26=0,0,BT26/$D26)</f>
        <v>0</v>
      </c>
      <c r="CB26" s="77" t="n">
        <f aca="false">IF($D26=0,0,BU26/$D26)</f>
        <v>14.5</v>
      </c>
      <c r="CC26" s="77" t="n">
        <f aca="false">IF($D26=0,0,BV26/$D26)</f>
        <v>0</v>
      </c>
    </row>
    <row r="27" customFormat="false" ht="15" hidden="false" customHeight="true" outlineLevel="0" collapsed="false">
      <c r="A27" s="7" t="s">
        <v>1038</v>
      </c>
      <c r="B27" s="7" t="s">
        <v>1422</v>
      </c>
      <c r="C27" s="7" t="s">
        <v>1406</v>
      </c>
      <c r="D27" s="30" t="n">
        <v>1</v>
      </c>
      <c r="E27" s="7" t="s">
        <v>1398</v>
      </c>
      <c r="F27" s="32" t="n">
        <f aca="false">MAX(G14)+Q27</f>
        <v>15</v>
      </c>
      <c r="G27" s="32" t="n">
        <f aca="false">F27+D27</f>
        <v>16</v>
      </c>
      <c r="H27" s="32" t="n">
        <f aca="false">I27-D27</f>
        <v>26</v>
      </c>
      <c r="I27" s="32" t="n">
        <f aca="false">MIN(H29)</f>
        <v>27</v>
      </c>
      <c r="J27" s="32" t="n">
        <f aca="false">H27-F27</f>
        <v>11</v>
      </c>
      <c r="K27" s="71" t="str">
        <f aca="false">IF(J27=0,"Sí","")</f>
        <v/>
      </c>
      <c r="L27" s="72" t="n">
        <f aca="false">SUM(BQ27:BV27)</f>
        <v>40</v>
      </c>
      <c r="M27" s="33" t="n">
        <f aca="false">SUMIFS(Cotizaciones!$J$5:$J$70,Cotizaciones!$C$5:$C$70,A27)</f>
        <v>549447112.775</v>
      </c>
      <c r="N27" s="32" t="n">
        <f aca="false">(L27*Supuestos!$B$47+M27*(1+Supuestos!$B$50))*(1+Supuestos!$B$51)/(1-Supuestos!$B$52)</f>
        <v>661051874.226898</v>
      </c>
      <c r="O27" s="73" t="n">
        <f aca="false">$C$3+F27*7</f>
        <v>46503</v>
      </c>
      <c r="P27" s="73" t="n">
        <f aca="false">$C$3+G27*7-IF(D27&gt;0,1,0)</f>
        <v>46509</v>
      </c>
      <c r="Q27" s="74" t="n">
        <v>1</v>
      </c>
      <c r="R27" s="75" t="str">
        <f aca="false">IF(AND(R$5&gt;$F27,R$5&lt;=$G27),IF($K27="Sí",2,1),IF(AND($D27=0,R$5=$G27),3,""))</f>
        <v/>
      </c>
      <c r="S27" s="75" t="str">
        <f aca="false">IF(AND(S$5&gt;$F27,S$5&lt;=$G27),IF($K27="Sí",2,1),IF(AND($D27=0,S$5=$G27),3,""))</f>
        <v/>
      </c>
      <c r="T27" s="75" t="str">
        <f aca="false">IF(AND(T$5&gt;$F27,T$5&lt;=$G27),IF($K27="Sí",2,1),IF(AND($D27=0,T$5=$G27),3,""))</f>
        <v/>
      </c>
      <c r="U27" s="75" t="str">
        <f aca="false">IF(AND(U$5&gt;$F27,U$5&lt;=$G27),IF($K27="Sí",2,1),IF(AND($D27=0,U$5=$G27),3,""))</f>
        <v/>
      </c>
      <c r="V27" s="75" t="str">
        <f aca="false">IF(AND(V$5&gt;$F27,V$5&lt;=$G27),IF($K27="Sí",2,1),IF(AND($D27=0,V$5=$G27),3,""))</f>
        <v/>
      </c>
      <c r="W27" s="75" t="str">
        <f aca="false">IF(AND(W$5&gt;$F27,W$5&lt;=$G27),IF($K27="Sí",2,1),IF(AND($D27=0,W$5=$G27),3,""))</f>
        <v/>
      </c>
      <c r="X27" s="75" t="str">
        <f aca="false">IF(AND(X$5&gt;$F27,X$5&lt;=$G27),IF($K27="Sí",2,1),IF(AND($D27=0,X$5=$G27),3,""))</f>
        <v/>
      </c>
      <c r="Y27" s="75" t="str">
        <f aca="false">IF(AND(Y$5&gt;$F27,Y$5&lt;=$G27),IF($K27="Sí",2,1),IF(AND($D27=0,Y$5=$G27),3,""))</f>
        <v/>
      </c>
      <c r="Z27" s="75" t="str">
        <f aca="false">IF(AND(Z$5&gt;$F27,Z$5&lt;=$G27),IF($K27="Sí",2,1),IF(AND($D27=0,Z$5=$G27),3,""))</f>
        <v/>
      </c>
      <c r="AA27" s="75" t="str">
        <f aca="false">IF(AND(AA$5&gt;$F27,AA$5&lt;=$G27),IF($K27="Sí",2,1),IF(AND($D27=0,AA$5=$G27),3,""))</f>
        <v/>
      </c>
      <c r="AB27" s="75" t="str">
        <f aca="false">IF(AND(AB$5&gt;$F27,AB$5&lt;=$G27),IF($K27="Sí",2,1),IF(AND($D27=0,AB$5=$G27),3,""))</f>
        <v/>
      </c>
      <c r="AC27" s="75" t="str">
        <f aca="false">IF(AND(AC$5&gt;$F27,AC$5&lt;=$G27),IF($K27="Sí",2,1),IF(AND($D27=0,AC$5=$G27),3,""))</f>
        <v/>
      </c>
      <c r="AD27" s="75" t="str">
        <f aca="false">IF(AND(AD$5&gt;$F27,AD$5&lt;=$G27),IF($K27="Sí",2,1),IF(AND($D27=0,AD$5=$G27),3,""))</f>
        <v/>
      </c>
      <c r="AE27" s="75" t="str">
        <f aca="false">IF(AND(AE$5&gt;$F27,AE$5&lt;=$G27),IF($K27="Sí",2,1),IF(AND($D27=0,AE$5=$G27),3,""))</f>
        <v/>
      </c>
      <c r="AF27" s="75" t="str">
        <f aca="false">IF(AND(AF$5&gt;$F27,AF$5&lt;=$G27),IF($K27="Sí",2,1),IF(AND($D27=0,AF$5=$G27),3,""))</f>
        <v/>
      </c>
      <c r="AG27" s="75" t="n">
        <f aca="false">IF(AND(AG$5&gt;$F27,AG$5&lt;=$G27),IF($K27="Sí",2,1),IF(AND($D27=0,AG$5=$G27),3,""))</f>
        <v>1</v>
      </c>
      <c r="AH27" s="75" t="str">
        <f aca="false">IF(AND(AH$5&gt;$F27,AH$5&lt;=$G27),IF($K27="Sí",2,1),IF(AND($D27=0,AH$5=$G27),3,""))</f>
        <v/>
      </c>
      <c r="AI27" s="75" t="str">
        <f aca="false">IF(AND(AI$5&gt;$F27,AI$5&lt;=$G27),IF($K27="Sí",2,1),IF(AND($D27=0,AI$5=$G27),3,""))</f>
        <v/>
      </c>
      <c r="AJ27" s="75" t="str">
        <f aca="false">IF(AND(AJ$5&gt;$F27,AJ$5&lt;=$G27),IF($K27="Sí",2,1),IF(AND($D27=0,AJ$5=$G27),3,""))</f>
        <v/>
      </c>
      <c r="AK27" s="75" t="str">
        <f aca="false">IF(AND(AK$5&gt;$F27,AK$5&lt;=$G27),IF($K27="Sí",2,1),IF(AND($D27=0,AK$5=$G27),3,""))</f>
        <v/>
      </c>
      <c r="AL27" s="75" t="str">
        <f aca="false">IF(AND(AL$5&gt;$F27,AL$5&lt;=$G27),IF($K27="Sí",2,1),IF(AND($D27=0,AL$5=$G27),3,""))</f>
        <v/>
      </c>
      <c r="AM27" s="75" t="str">
        <f aca="false">IF(AND(AM$5&gt;$F27,AM$5&lt;=$G27),IF($K27="Sí",2,1),IF(AND($D27=0,AM$5=$G27),3,""))</f>
        <v/>
      </c>
      <c r="AN27" s="75" t="str">
        <f aca="false">IF(AND(AN$5&gt;$F27,AN$5&lt;=$G27),IF($K27="Sí",2,1),IF(AND($D27=0,AN$5=$G27),3,""))</f>
        <v/>
      </c>
      <c r="AO27" s="75" t="str">
        <f aca="false">IF(AND(AO$5&gt;$F27,AO$5&lt;=$G27),IF($K27="Sí",2,1),IF(AND($D27=0,AO$5=$G27),3,""))</f>
        <v/>
      </c>
      <c r="AP27" s="75" t="str">
        <f aca="false">IF(AND(AP$5&gt;$F27,AP$5&lt;=$G27),IF($K27="Sí",2,1),IF(AND($D27=0,AP$5=$G27),3,""))</f>
        <v/>
      </c>
      <c r="AQ27" s="75" t="str">
        <f aca="false">IF(AND(AQ$5&gt;$F27,AQ$5&lt;=$G27),IF($K27="Sí",2,1),IF(AND($D27=0,AQ$5=$G27),3,""))</f>
        <v/>
      </c>
      <c r="AR27" s="75" t="str">
        <f aca="false">IF(AND(AR$5&gt;$F27,AR$5&lt;=$G27),IF($K27="Sí",2,1),IF(AND($D27=0,AR$5=$G27),3,""))</f>
        <v/>
      </c>
      <c r="AS27" s="75" t="str">
        <f aca="false">IF(AND(AS$5&gt;$F27,AS$5&lt;=$G27),IF($K27="Sí",2,1),IF(AND($D27=0,AS$5=$G27),3,""))</f>
        <v/>
      </c>
      <c r="AT27" s="75" t="str">
        <f aca="false">IF(AND(AT$5&gt;$F27,AT$5&lt;=$G27),IF($K27="Sí",2,1),IF(AND($D27=0,AT$5=$G27),3,""))</f>
        <v/>
      </c>
      <c r="AU27" s="75" t="str">
        <f aca="false">IF(AND(AU$5&gt;$F27,AU$5&lt;=$G27),IF($K27="Sí",2,1),IF(AND($D27=0,AU$5=$G27),3,""))</f>
        <v/>
      </c>
      <c r="AV27" s="75" t="str">
        <f aca="false">IF(AND(AV$5&gt;$F27,AV$5&lt;=$G27),IF($K27="Sí",2,1),IF(AND($D27=0,AV$5=$G27),3,""))</f>
        <v/>
      </c>
      <c r="AW27" s="75" t="str">
        <f aca="false">IF(AND(AW$5&gt;$F27,AW$5&lt;=$G27),IF($K27="Sí",2,1),IF(AND($D27=0,AW$5=$G27),3,""))</f>
        <v/>
      </c>
      <c r="AX27" s="75" t="str">
        <f aca="false">IF(AND(AX$5&gt;$F27,AX$5&lt;=$G27),IF($K27="Sí",2,1),IF(AND($D27=0,AX$5=$G27),3,""))</f>
        <v/>
      </c>
      <c r="AY27" s="75" t="str">
        <f aca="false">IF(AND(AY$5&gt;$F27,AY$5&lt;=$G27),IF($K27="Sí",2,1),IF(AND($D27=0,AY$5=$G27),3,""))</f>
        <v/>
      </c>
      <c r="AZ27" s="75" t="str">
        <f aca="false">IF(AND(AZ$5&gt;$F27,AZ$5&lt;=$G27),IF($K27="Sí",2,1),IF(AND($D27=0,AZ$5=$G27),3,""))</f>
        <v/>
      </c>
      <c r="BA27" s="75" t="str">
        <f aca="false">IF(AND(BA$5&gt;$F27,BA$5&lt;=$G27),IF($K27="Sí",2,1),IF(AND($D27=0,BA$5=$G27),3,""))</f>
        <v/>
      </c>
      <c r="BB27" s="75" t="str">
        <f aca="false">IF(AND(BB$5&gt;$F27,BB$5&lt;=$G27),IF($K27="Sí",2,1),IF(AND($D27=0,BB$5=$G27),3,""))</f>
        <v/>
      </c>
      <c r="BC27" s="75" t="str">
        <f aca="false">IF(AND(BC$5&gt;$F27,BC$5&lt;=$G27),IF($K27="Sí",2,1),IF(AND($D27=0,BC$5=$G27),3,""))</f>
        <v/>
      </c>
      <c r="BD27" s="75" t="str">
        <f aca="false">IF(AND(BD$5&gt;$F27,BD$5&lt;=$G27),IF($K27="Sí",2,1),IF(AND($D27=0,BD$5=$G27),3,""))</f>
        <v/>
      </c>
      <c r="BE27" s="75" t="str">
        <f aca="false">IF(AND(BE$5&gt;$F27,BE$5&lt;=$G27),IF($K27="Sí",2,1),IF(AND($D27=0,BE$5=$G27),3,""))</f>
        <v/>
      </c>
      <c r="BF27" s="75" t="str">
        <f aca="false">IF(AND(BF$5&gt;$F27,BF$5&lt;=$G27),IF($K27="Sí",2,1),IF(AND($D27=0,BF$5=$G27),3,""))</f>
        <v/>
      </c>
      <c r="BG27" s="75" t="str">
        <f aca="false">IF(AND(BG$5&gt;$F27,BG$5&lt;=$G27),IF($K27="Sí",2,1),IF(AND($D27=0,BG$5=$G27),3,""))</f>
        <v/>
      </c>
      <c r="BH27" s="75" t="str">
        <f aca="false">IF(AND(BH$5&gt;$F27,BH$5&lt;=$G27),IF($K27="Sí",2,1),IF(AND($D27=0,BH$5=$G27),3,""))</f>
        <v/>
      </c>
      <c r="BI27" s="75" t="str">
        <f aca="false">IF(AND(BI$5&gt;$F27,BI$5&lt;=$G27),IF($K27="Sí",2,1),IF(AND($D27=0,BI$5=$G27),3,""))</f>
        <v/>
      </c>
      <c r="BJ27" s="75" t="str">
        <f aca="false">IF(AND(BJ$5&gt;$F27,BJ$5&lt;=$G27),IF($K27="Sí",2,1),IF(AND($D27=0,BJ$5=$G27),3,""))</f>
        <v/>
      </c>
      <c r="BK27" s="75" t="str">
        <f aca="false">IF(AND(BK$5&gt;$F27,BK$5&lt;=$G27),IF($K27="Sí",2,1),IF(AND($D27=0,BK$5=$G27),3,""))</f>
        <v/>
      </c>
      <c r="BL27" s="75" t="str">
        <f aca="false">IF(AND(BL$5&gt;$F27,BL$5&lt;=$G27),IF($K27="Sí",2,1),IF(AND($D27=0,BL$5=$G27),3,""))</f>
        <v/>
      </c>
      <c r="BM27" s="75" t="str">
        <f aca="false">IF(AND(BM$5&gt;$F27,BM$5&lt;=$G27),IF($K27="Sí",2,1),IF(AND($D27=0,BM$5=$G27),3,""))</f>
        <v/>
      </c>
      <c r="BN27" s="75" t="str">
        <f aca="false">IF(AND(BN$5&gt;$F27,BN$5&lt;=$G27),IF($K27="Sí",2,1),IF(AND($D27=0,BN$5=$G27),3,""))</f>
        <v/>
      </c>
      <c r="BO27" s="75" t="str">
        <f aca="false">IF(AND(BO$5&gt;$F27,BO$5&lt;=$G27),IF($K27="Sí",2,1),IF(AND($D27=0,BO$5=$G27),3,""))</f>
        <v/>
      </c>
      <c r="BQ27" s="59" t="n">
        <v>0</v>
      </c>
      <c r="BR27" s="59" t="n">
        <v>29</v>
      </c>
      <c r="BS27" s="59" t="n">
        <v>0</v>
      </c>
      <c r="BT27" s="59" t="n">
        <v>0</v>
      </c>
      <c r="BU27" s="59" t="n">
        <v>0</v>
      </c>
      <c r="BV27" s="59" t="n">
        <v>11</v>
      </c>
      <c r="BW27" s="76" t="n">
        <f aca="false">L27-40</f>
        <v>0</v>
      </c>
      <c r="BX27" s="77" t="n">
        <f aca="false">IF($D27=0,0,BQ27/$D27)</f>
        <v>0</v>
      </c>
      <c r="BY27" s="77" t="n">
        <f aca="false">IF($D27=0,0,BR27/$D27)</f>
        <v>29</v>
      </c>
      <c r="BZ27" s="77" t="n">
        <f aca="false">IF($D27=0,0,BS27/$D27)</f>
        <v>0</v>
      </c>
      <c r="CA27" s="77" t="n">
        <f aca="false">IF($D27=0,0,BT27/$D27)</f>
        <v>0</v>
      </c>
      <c r="CB27" s="77" t="n">
        <f aca="false">IF($D27=0,0,BU27/$D27)</f>
        <v>0</v>
      </c>
      <c r="CC27" s="77" t="n">
        <f aca="false">IF($D27=0,0,BV27/$D27)</f>
        <v>11</v>
      </c>
    </row>
    <row r="28" customFormat="false" ht="15" hidden="false" customHeight="true" outlineLevel="0" collapsed="false">
      <c r="A28" s="7" t="s">
        <v>1423</v>
      </c>
      <c r="B28" s="7" t="s">
        <v>1424</v>
      </c>
      <c r="C28" s="7" t="s">
        <v>1406</v>
      </c>
      <c r="D28" s="30" t="n">
        <v>12</v>
      </c>
      <c r="E28" s="7" t="s">
        <v>1398</v>
      </c>
      <c r="F28" s="32" t="n">
        <f aca="false">MAX(G14)+Q28</f>
        <v>15</v>
      </c>
      <c r="G28" s="32" t="n">
        <f aca="false">F28+D28</f>
        <v>27</v>
      </c>
      <c r="H28" s="32" t="n">
        <f aca="false">I28-D28</f>
        <v>15</v>
      </c>
      <c r="I28" s="32" t="n">
        <f aca="false">MIN(H29)</f>
        <v>27</v>
      </c>
      <c r="J28" s="32" t="n">
        <f aca="false">H28-F28</f>
        <v>0</v>
      </c>
      <c r="K28" s="71" t="str">
        <f aca="false">IF(J28=0,"Sí","")</f>
        <v>Sí</v>
      </c>
      <c r="L28" s="72" t="n">
        <f aca="false">SUM(BQ28:BV28)</f>
        <v>800</v>
      </c>
      <c r="M28" s="33" t="n">
        <f aca="false">SUMIFS(Cotizaciones!$J$5:$J$70,Cotizaciones!$C$5:$C$70,A28)</f>
        <v>0</v>
      </c>
      <c r="N28" s="32" t="n">
        <f aca="false">(L28*Supuestos!$B$47+M28*(1+Supuestos!$B$50))*(1+Supuestos!$B$51)/(1-Supuestos!$B$52)</f>
        <v>129959514.170041</v>
      </c>
      <c r="O28" s="73" t="n">
        <f aca="false">$C$3+F28*7</f>
        <v>46503</v>
      </c>
      <c r="P28" s="73" t="n">
        <f aca="false">$C$3+G28*7-IF(D28&gt;0,1,0)</f>
        <v>46586</v>
      </c>
      <c r="Q28" s="74" t="n">
        <v>1</v>
      </c>
      <c r="R28" s="75" t="str">
        <f aca="false">IF(AND(R$5&gt;$F28,R$5&lt;=$G28),IF($K28="Sí",2,1),IF(AND($D28=0,R$5=$G28),3,""))</f>
        <v/>
      </c>
      <c r="S28" s="75" t="str">
        <f aca="false">IF(AND(S$5&gt;$F28,S$5&lt;=$G28),IF($K28="Sí",2,1),IF(AND($D28=0,S$5=$G28),3,""))</f>
        <v/>
      </c>
      <c r="T28" s="75" t="str">
        <f aca="false">IF(AND(T$5&gt;$F28,T$5&lt;=$G28),IF($K28="Sí",2,1),IF(AND($D28=0,T$5=$G28),3,""))</f>
        <v/>
      </c>
      <c r="U28" s="75" t="str">
        <f aca="false">IF(AND(U$5&gt;$F28,U$5&lt;=$G28),IF($K28="Sí",2,1),IF(AND($D28=0,U$5=$G28),3,""))</f>
        <v/>
      </c>
      <c r="V28" s="75" t="str">
        <f aca="false">IF(AND(V$5&gt;$F28,V$5&lt;=$G28),IF($K28="Sí",2,1),IF(AND($D28=0,V$5=$G28),3,""))</f>
        <v/>
      </c>
      <c r="W28" s="75" t="str">
        <f aca="false">IF(AND(W$5&gt;$F28,W$5&lt;=$G28),IF($K28="Sí",2,1),IF(AND($D28=0,W$5=$G28),3,""))</f>
        <v/>
      </c>
      <c r="X28" s="75" t="str">
        <f aca="false">IF(AND(X$5&gt;$F28,X$5&lt;=$G28),IF($K28="Sí",2,1),IF(AND($D28=0,X$5=$G28),3,""))</f>
        <v/>
      </c>
      <c r="Y28" s="75" t="str">
        <f aca="false">IF(AND(Y$5&gt;$F28,Y$5&lt;=$G28),IF($K28="Sí",2,1),IF(AND($D28=0,Y$5=$G28),3,""))</f>
        <v/>
      </c>
      <c r="Z28" s="75" t="str">
        <f aca="false">IF(AND(Z$5&gt;$F28,Z$5&lt;=$G28),IF($K28="Sí",2,1),IF(AND($D28=0,Z$5=$G28),3,""))</f>
        <v/>
      </c>
      <c r="AA28" s="75" t="str">
        <f aca="false">IF(AND(AA$5&gt;$F28,AA$5&lt;=$G28),IF($K28="Sí",2,1),IF(AND($D28=0,AA$5=$G28),3,""))</f>
        <v/>
      </c>
      <c r="AB28" s="75" t="str">
        <f aca="false">IF(AND(AB$5&gt;$F28,AB$5&lt;=$G28),IF($K28="Sí",2,1),IF(AND($D28=0,AB$5=$G28),3,""))</f>
        <v/>
      </c>
      <c r="AC28" s="75" t="str">
        <f aca="false">IF(AND(AC$5&gt;$F28,AC$5&lt;=$G28),IF($K28="Sí",2,1),IF(AND($D28=0,AC$5=$G28),3,""))</f>
        <v/>
      </c>
      <c r="AD28" s="75" t="str">
        <f aca="false">IF(AND(AD$5&gt;$F28,AD$5&lt;=$G28),IF($K28="Sí",2,1),IF(AND($D28=0,AD$5=$G28),3,""))</f>
        <v/>
      </c>
      <c r="AE28" s="75" t="str">
        <f aca="false">IF(AND(AE$5&gt;$F28,AE$5&lt;=$G28),IF($K28="Sí",2,1),IF(AND($D28=0,AE$5=$G28),3,""))</f>
        <v/>
      </c>
      <c r="AF28" s="75" t="str">
        <f aca="false">IF(AND(AF$5&gt;$F28,AF$5&lt;=$G28),IF($K28="Sí",2,1),IF(AND($D28=0,AF$5=$G28),3,""))</f>
        <v/>
      </c>
      <c r="AG28" s="75" t="n">
        <f aca="false">IF(AND(AG$5&gt;$F28,AG$5&lt;=$G28),IF($K28="Sí",2,1),IF(AND($D28=0,AG$5=$G28),3,""))</f>
        <v>2</v>
      </c>
      <c r="AH28" s="75" t="n">
        <f aca="false">IF(AND(AH$5&gt;$F28,AH$5&lt;=$G28),IF($K28="Sí",2,1),IF(AND($D28=0,AH$5=$G28),3,""))</f>
        <v>2</v>
      </c>
      <c r="AI28" s="75" t="n">
        <f aca="false">IF(AND(AI$5&gt;$F28,AI$5&lt;=$G28),IF($K28="Sí",2,1),IF(AND($D28=0,AI$5=$G28),3,""))</f>
        <v>2</v>
      </c>
      <c r="AJ28" s="75" t="n">
        <f aca="false">IF(AND(AJ$5&gt;$F28,AJ$5&lt;=$G28),IF($K28="Sí",2,1),IF(AND($D28=0,AJ$5=$G28),3,""))</f>
        <v>2</v>
      </c>
      <c r="AK28" s="75" t="n">
        <f aca="false">IF(AND(AK$5&gt;$F28,AK$5&lt;=$G28),IF($K28="Sí",2,1),IF(AND($D28=0,AK$5=$G28),3,""))</f>
        <v>2</v>
      </c>
      <c r="AL28" s="75" t="n">
        <f aca="false">IF(AND(AL$5&gt;$F28,AL$5&lt;=$G28),IF($K28="Sí",2,1),IF(AND($D28=0,AL$5=$G28),3,""))</f>
        <v>2</v>
      </c>
      <c r="AM28" s="75" t="n">
        <f aca="false">IF(AND(AM$5&gt;$F28,AM$5&lt;=$G28),IF($K28="Sí",2,1),IF(AND($D28=0,AM$5=$G28),3,""))</f>
        <v>2</v>
      </c>
      <c r="AN28" s="75" t="n">
        <f aca="false">IF(AND(AN$5&gt;$F28,AN$5&lt;=$G28),IF($K28="Sí",2,1),IF(AND($D28=0,AN$5=$G28),3,""))</f>
        <v>2</v>
      </c>
      <c r="AO28" s="75" t="n">
        <f aca="false">IF(AND(AO$5&gt;$F28,AO$5&lt;=$G28),IF($K28="Sí",2,1),IF(AND($D28=0,AO$5=$G28),3,""))</f>
        <v>2</v>
      </c>
      <c r="AP28" s="75" t="n">
        <f aca="false">IF(AND(AP$5&gt;$F28,AP$5&lt;=$G28),IF($K28="Sí",2,1),IF(AND($D28=0,AP$5=$G28),3,""))</f>
        <v>2</v>
      </c>
      <c r="AQ28" s="75" t="n">
        <f aca="false">IF(AND(AQ$5&gt;$F28,AQ$5&lt;=$G28),IF($K28="Sí",2,1),IF(AND($D28=0,AQ$5=$G28),3,""))</f>
        <v>2</v>
      </c>
      <c r="AR28" s="75" t="n">
        <f aca="false">IF(AND(AR$5&gt;$F28,AR$5&lt;=$G28),IF($K28="Sí",2,1),IF(AND($D28=0,AR$5=$G28),3,""))</f>
        <v>2</v>
      </c>
      <c r="AS28" s="75" t="str">
        <f aca="false">IF(AND(AS$5&gt;$F28,AS$5&lt;=$G28),IF($K28="Sí",2,1),IF(AND($D28=0,AS$5=$G28),3,""))</f>
        <v/>
      </c>
      <c r="AT28" s="75" t="str">
        <f aca="false">IF(AND(AT$5&gt;$F28,AT$5&lt;=$G28),IF($K28="Sí",2,1),IF(AND($D28=0,AT$5=$G28),3,""))</f>
        <v/>
      </c>
      <c r="AU28" s="75" t="str">
        <f aca="false">IF(AND(AU$5&gt;$F28,AU$5&lt;=$G28),IF($K28="Sí",2,1),IF(AND($D28=0,AU$5=$G28),3,""))</f>
        <v/>
      </c>
      <c r="AV28" s="75" t="str">
        <f aca="false">IF(AND(AV$5&gt;$F28,AV$5&lt;=$G28),IF($K28="Sí",2,1),IF(AND($D28=0,AV$5=$G28),3,""))</f>
        <v/>
      </c>
      <c r="AW28" s="75" t="str">
        <f aca="false">IF(AND(AW$5&gt;$F28,AW$5&lt;=$G28),IF($K28="Sí",2,1),IF(AND($D28=0,AW$5=$G28),3,""))</f>
        <v/>
      </c>
      <c r="AX28" s="75" t="str">
        <f aca="false">IF(AND(AX$5&gt;$F28,AX$5&lt;=$G28),IF($K28="Sí",2,1),IF(AND($D28=0,AX$5=$G28),3,""))</f>
        <v/>
      </c>
      <c r="AY28" s="75" t="str">
        <f aca="false">IF(AND(AY$5&gt;$F28,AY$5&lt;=$G28),IF($K28="Sí",2,1),IF(AND($D28=0,AY$5=$G28),3,""))</f>
        <v/>
      </c>
      <c r="AZ28" s="75" t="str">
        <f aca="false">IF(AND(AZ$5&gt;$F28,AZ$5&lt;=$G28),IF($K28="Sí",2,1),IF(AND($D28=0,AZ$5=$G28),3,""))</f>
        <v/>
      </c>
      <c r="BA28" s="75" t="str">
        <f aca="false">IF(AND(BA$5&gt;$F28,BA$5&lt;=$G28),IF($K28="Sí",2,1),IF(AND($D28=0,BA$5=$G28),3,""))</f>
        <v/>
      </c>
      <c r="BB28" s="75" t="str">
        <f aca="false">IF(AND(BB$5&gt;$F28,BB$5&lt;=$G28),IF($K28="Sí",2,1),IF(AND($D28=0,BB$5=$G28),3,""))</f>
        <v/>
      </c>
      <c r="BC28" s="75" t="str">
        <f aca="false">IF(AND(BC$5&gt;$F28,BC$5&lt;=$G28),IF($K28="Sí",2,1),IF(AND($D28=0,BC$5=$G28),3,""))</f>
        <v/>
      </c>
      <c r="BD28" s="75" t="str">
        <f aca="false">IF(AND(BD$5&gt;$F28,BD$5&lt;=$G28),IF($K28="Sí",2,1),IF(AND($D28=0,BD$5=$G28),3,""))</f>
        <v/>
      </c>
      <c r="BE28" s="75" t="str">
        <f aca="false">IF(AND(BE$5&gt;$F28,BE$5&lt;=$G28),IF($K28="Sí",2,1),IF(AND($D28=0,BE$5=$G28),3,""))</f>
        <v/>
      </c>
      <c r="BF28" s="75" t="str">
        <f aca="false">IF(AND(BF$5&gt;$F28,BF$5&lt;=$G28),IF($K28="Sí",2,1),IF(AND($D28=0,BF$5=$G28),3,""))</f>
        <v/>
      </c>
      <c r="BG28" s="75" t="str">
        <f aca="false">IF(AND(BG$5&gt;$F28,BG$5&lt;=$G28),IF($K28="Sí",2,1),IF(AND($D28=0,BG$5=$G28),3,""))</f>
        <v/>
      </c>
      <c r="BH28" s="75" t="str">
        <f aca="false">IF(AND(BH$5&gt;$F28,BH$5&lt;=$G28),IF($K28="Sí",2,1),IF(AND($D28=0,BH$5=$G28),3,""))</f>
        <v/>
      </c>
      <c r="BI28" s="75" t="str">
        <f aca="false">IF(AND(BI$5&gt;$F28,BI$5&lt;=$G28),IF($K28="Sí",2,1),IF(AND($D28=0,BI$5=$G28),3,""))</f>
        <v/>
      </c>
      <c r="BJ28" s="75" t="str">
        <f aca="false">IF(AND(BJ$5&gt;$F28,BJ$5&lt;=$G28),IF($K28="Sí",2,1),IF(AND($D28=0,BJ$5=$G28),3,""))</f>
        <v/>
      </c>
      <c r="BK28" s="75" t="str">
        <f aca="false">IF(AND(BK$5&gt;$F28,BK$5&lt;=$G28),IF($K28="Sí",2,1),IF(AND($D28=0,BK$5=$G28),3,""))</f>
        <v/>
      </c>
      <c r="BL28" s="75" t="str">
        <f aca="false">IF(AND(BL$5&gt;$F28,BL$5&lt;=$G28),IF($K28="Sí",2,1),IF(AND($D28=0,BL$5=$G28),3,""))</f>
        <v/>
      </c>
      <c r="BM28" s="75" t="str">
        <f aca="false">IF(AND(BM$5&gt;$F28,BM$5&lt;=$G28),IF($K28="Sí",2,1),IF(AND($D28=0,BM$5=$G28),3,""))</f>
        <v/>
      </c>
      <c r="BN28" s="75" t="str">
        <f aca="false">IF(AND(BN$5&gt;$F28,BN$5&lt;=$G28),IF($K28="Sí",2,1),IF(AND($D28=0,BN$5=$G28),3,""))</f>
        <v/>
      </c>
      <c r="BO28" s="75" t="str">
        <f aca="false">IF(AND(BO$5&gt;$F28,BO$5&lt;=$G28),IF($K28="Sí",2,1),IF(AND($D28=0,BO$5=$G28),3,""))</f>
        <v/>
      </c>
      <c r="BQ28" s="59" t="n">
        <v>0</v>
      </c>
      <c r="BR28" s="59" t="n">
        <v>32</v>
      </c>
      <c r="BS28" s="59" t="n">
        <v>433</v>
      </c>
      <c r="BT28" s="59" t="n">
        <v>0</v>
      </c>
      <c r="BU28" s="59" t="n">
        <v>0</v>
      </c>
      <c r="BV28" s="59" t="n">
        <v>335</v>
      </c>
      <c r="BW28" s="76" t="n">
        <f aca="false">L28-800</f>
        <v>0</v>
      </c>
      <c r="BX28" s="77" t="n">
        <f aca="false">IF($D28=0,0,BQ28/$D28)</f>
        <v>0</v>
      </c>
      <c r="BY28" s="77" t="n">
        <f aca="false">IF($D28=0,0,BR28/$D28)</f>
        <v>2.66666666666667</v>
      </c>
      <c r="BZ28" s="77" t="n">
        <f aca="false">IF($D28=0,0,BS28/$D28)</f>
        <v>36.0833333333333</v>
      </c>
      <c r="CA28" s="77" t="n">
        <f aca="false">IF($D28=0,0,BT28/$D28)</f>
        <v>0</v>
      </c>
      <c r="CB28" s="77" t="n">
        <f aca="false">IF($D28=0,0,BU28/$D28)</f>
        <v>0</v>
      </c>
      <c r="CC28" s="77" t="n">
        <f aca="false">IF($D28=0,0,BV28/$D28)</f>
        <v>27.9166666666667</v>
      </c>
    </row>
    <row r="29" customFormat="false" ht="15" hidden="false" customHeight="true" outlineLevel="0" collapsed="false">
      <c r="A29" s="7" t="s">
        <v>1425</v>
      </c>
      <c r="B29" s="7" t="s">
        <v>1426</v>
      </c>
      <c r="C29" s="7" t="s">
        <v>1388</v>
      </c>
      <c r="D29" s="30" t="n">
        <v>6</v>
      </c>
      <c r="E29" s="7" t="s">
        <v>1427</v>
      </c>
      <c r="F29" s="32" t="n">
        <f aca="false">MAX(G18,G19,G28,G27)+Q29</f>
        <v>27</v>
      </c>
      <c r="G29" s="32" t="n">
        <f aca="false">F29+D29</f>
        <v>33</v>
      </c>
      <c r="H29" s="32" t="n">
        <f aca="false">I29-D29</f>
        <v>27</v>
      </c>
      <c r="I29" s="32" t="n">
        <f aca="false">MIN(H31)</f>
        <v>33</v>
      </c>
      <c r="J29" s="32" t="n">
        <f aca="false">H29-F29</f>
        <v>0</v>
      </c>
      <c r="K29" s="71" t="str">
        <f aca="false">IF(J29=0,"Sí","")</f>
        <v>Sí</v>
      </c>
      <c r="L29" s="72" t="n">
        <f aca="false">SUM(BQ29:BV29)</f>
        <v>640</v>
      </c>
      <c r="M29" s="33" t="n">
        <f aca="false">SUMIFS(Cotizaciones!$J$5:$J$70,Cotizaciones!$C$5:$C$70,A29)</f>
        <v>0</v>
      </c>
      <c r="N29" s="32" t="n">
        <f aca="false">(L29*Supuestos!$B$47+M29*(1+Supuestos!$B$50))*(1+Supuestos!$B$51)/(1-Supuestos!$B$52)</f>
        <v>103967611.336032</v>
      </c>
      <c r="O29" s="73" t="n">
        <f aca="false">$C$3+F29*7</f>
        <v>46587</v>
      </c>
      <c r="P29" s="73" t="n">
        <f aca="false">$C$3+G29*7-IF(D29&gt;0,1,0)</f>
        <v>46628</v>
      </c>
      <c r="Q29" s="74" t="n">
        <v>0</v>
      </c>
      <c r="R29" s="75" t="str">
        <f aca="false">IF(AND(R$5&gt;$F29,R$5&lt;=$G29),IF($K29="Sí",2,1),IF(AND($D29=0,R$5=$G29),3,""))</f>
        <v/>
      </c>
      <c r="S29" s="75" t="str">
        <f aca="false">IF(AND(S$5&gt;$F29,S$5&lt;=$G29),IF($K29="Sí",2,1),IF(AND($D29=0,S$5=$G29),3,""))</f>
        <v/>
      </c>
      <c r="T29" s="75" t="str">
        <f aca="false">IF(AND(T$5&gt;$F29,T$5&lt;=$G29),IF($K29="Sí",2,1),IF(AND($D29=0,T$5=$G29),3,""))</f>
        <v/>
      </c>
      <c r="U29" s="75" t="str">
        <f aca="false">IF(AND(U$5&gt;$F29,U$5&lt;=$G29),IF($K29="Sí",2,1),IF(AND($D29=0,U$5=$G29),3,""))</f>
        <v/>
      </c>
      <c r="V29" s="75" t="str">
        <f aca="false">IF(AND(V$5&gt;$F29,V$5&lt;=$G29),IF($K29="Sí",2,1),IF(AND($D29=0,V$5=$G29),3,""))</f>
        <v/>
      </c>
      <c r="W29" s="75" t="str">
        <f aca="false">IF(AND(W$5&gt;$F29,W$5&lt;=$G29),IF($K29="Sí",2,1),IF(AND($D29=0,W$5=$G29),3,""))</f>
        <v/>
      </c>
      <c r="X29" s="75" t="str">
        <f aca="false">IF(AND(X$5&gt;$F29,X$5&lt;=$G29),IF($K29="Sí",2,1),IF(AND($D29=0,X$5=$G29),3,""))</f>
        <v/>
      </c>
      <c r="Y29" s="75" t="str">
        <f aca="false">IF(AND(Y$5&gt;$F29,Y$5&lt;=$G29),IF($K29="Sí",2,1),IF(AND($D29=0,Y$5=$G29),3,""))</f>
        <v/>
      </c>
      <c r="Z29" s="75" t="str">
        <f aca="false">IF(AND(Z$5&gt;$F29,Z$5&lt;=$G29),IF($K29="Sí",2,1),IF(AND($D29=0,Z$5=$G29),3,""))</f>
        <v/>
      </c>
      <c r="AA29" s="75" t="str">
        <f aca="false">IF(AND(AA$5&gt;$F29,AA$5&lt;=$G29),IF($K29="Sí",2,1),IF(AND($D29=0,AA$5=$G29),3,""))</f>
        <v/>
      </c>
      <c r="AB29" s="75" t="str">
        <f aca="false">IF(AND(AB$5&gt;$F29,AB$5&lt;=$G29),IF($K29="Sí",2,1),IF(AND($D29=0,AB$5=$G29),3,""))</f>
        <v/>
      </c>
      <c r="AC29" s="75" t="str">
        <f aca="false">IF(AND(AC$5&gt;$F29,AC$5&lt;=$G29),IF($K29="Sí",2,1),IF(AND($D29=0,AC$5=$G29),3,""))</f>
        <v/>
      </c>
      <c r="AD29" s="75" t="str">
        <f aca="false">IF(AND(AD$5&gt;$F29,AD$5&lt;=$G29),IF($K29="Sí",2,1),IF(AND($D29=0,AD$5=$G29),3,""))</f>
        <v/>
      </c>
      <c r="AE29" s="75" t="str">
        <f aca="false">IF(AND(AE$5&gt;$F29,AE$5&lt;=$G29),IF($K29="Sí",2,1),IF(AND($D29=0,AE$5=$G29),3,""))</f>
        <v/>
      </c>
      <c r="AF29" s="75" t="str">
        <f aca="false">IF(AND(AF$5&gt;$F29,AF$5&lt;=$G29),IF($K29="Sí",2,1),IF(AND($D29=0,AF$5=$G29),3,""))</f>
        <v/>
      </c>
      <c r="AG29" s="75" t="str">
        <f aca="false">IF(AND(AG$5&gt;$F29,AG$5&lt;=$G29),IF($K29="Sí",2,1),IF(AND($D29=0,AG$5=$G29),3,""))</f>
        <v/>
      </c>
      <c r="AH29" s="75" t="str">
        <f aca="false">IF(AND(AH$5&gt;$F29,AH$5&lt;=$G29),IF($K29="Sí",2,1),IF(AND($D29=0,AH$5=$G29),3,""))</f>
        <v/>
      </c>
      <c r="AI29" s="75" t="str">
        <f aca="false">IF(AND(AI$5&gt;$F29,AI$5&lt;=$G29),IF($K29="Sí",2,1),IF(AND($D29=0,AI$5=$G29),3,""))</f>
        <v/>
      </c>
      <c r="AJ29" s="75" t="str">
        <f aca="false">IF(AND(AJ$5&gt;$F29,AJ$5&lt;=$G29),IF($K29="Sí",2,1),IF(AND($D29=0,AJ$5=$G29),3,""))</f>
        <v/>
      </c>
      <c r="AK29" s="75" t="str">
        <f aca="false">IF(AND(AK$5&gt;$F29,AK$5&lt;=$G29),IF($K29="Sí",2,1),IF(AND($D29=0,AK$5=$G29),3,""))</f>
        <v/>
      </c>
      <c r="AL29" s="75" t="str">
        <f aca="false">IF(AND(AL$5&gt;$F29,AL$5&lt;=$G29),IF($K29="Sí",2,1),IF(AND($D29=0,AL$5=$G29),3,""))</f>
        <v/>
      </c>
      <c r="AM29" s="75" t="str">
        <f aca="false">IF(AND(AM$5&gt;$F29,AM$5&lt;=$G29),IF($K29="Sí",2,1),IF(AND($D29=0,AM$5=$G29),3,""))</f>
        <v/>
      </c>
      <c r="AN29" s="75" t="str">
        <f aca="false">IF(AND(AN$5&gt;$F29,AN$5&lt;=$G29),IF($K29="Sí",2,1),IF(AND($D29=0,AN$5=$G29),3,""))</f>
        <v/>
      </c>
      <c r="AO29" s="75" t="str">
        <f aca="false">IF(AND(AO$5&gt;$F29,AO$5&lt;=$G29),IF($K29="Sí",2,1),IF(AND($D29=0,AO$5=$G29),3,""))</f>
        <v/>
      </c>
      <c r="AP29" s="75" t="str">
        <f aca="false">IF(AND(AP$5&gt;$F29,AP$5&lt;=$G29),IF($K29="Sí",2,1),IF(AND($D29=0,AP$5=$G29),3,""))</f>
        <v/>
      </c>
      <c r="AQ29" s="75" t="str">
        <f aca="false">IF(AND(AQ$5&gt;$F29,AQ$5&lt;=$G29),IF($K29="Sí",2,1),IF(AND($D29=0,AQ$5=$G29),3,""))</f>
        <v/>
      </c>
      <c r="AR29" s="75" t="str">
        <f aca="false">IF(AND(AR$5&gt;$F29,AR$5&lt;=$G29),IF($K29="Sí",2,1),IF(AND($D29=0,AR$5=$G29),3,""))</f>
        <v/>
      </c>
      <c r="AS29" s="75" t="n">
        <f aca="false">IF(AND(AS$5&gt;$F29,AS$5&lt;=$G29),IF($K29="Sí",2,1),IF(AND($D29=0,AS$5=$G29),3,""))</f>
        <v>2</v>
      </c>
      <c r="AT29" s="75" t="n">
        <f aca="false">IF(AND(AT$5&gt;$F29,AT$5&lt;=$G29),IF($K29="Sí",2,1),IF(AND($D29=0,AT$5=$G29),3,""))</f>
        <v>2</v>
      </c>
      <c r="AU29" s="75" t="n">
        <f aca="false">IF(AND(AU$5&gt;$F29,AU$5&lt;=$G29),IF($K29="Sí",2,1),IF(AND($D29=0,AU$5=$G29),3,""))</f>
        <v>2</v>
      </c>
      <c r="AV29" s="75" t="n">
        <f aca="false">IF(AND(AV$5&gt;$F29,AV$5&lt;=$G29),IF($K29="Sí",2,1),IF(AND($D29=0,AV$5=$G29),3,""))</f>
        <v>2</v>
      </c>
      <c r="AW29" s="75" t="n">
        <f aca="false">IF(AND(AW$5&gt;$F29,AW$5&lt;=$G29),IF($K29="Sí",2,1),IF(AND($D29=0,AW$5=$G29),3,""))</f>
        <v>2</v>
      </c>
      <c r="AX29" s="75" t="n">
        <f aca="false">IF(AND(AX$5&gt;$F29,AX$5&lt;=$G29),IF($K29="Sí",2,1),IF(AND($D29=0,AX$5=$G29),3,""))</f>
        <v>2</v>
      </c>
      <c r="AY29" s="75" t="str">
        <f aca="false">IF(AND(AY$5&gt;$F29,AY$5&lt;=$G29),IF($K29="Sí",2,1),IF(AND($D29=0,AY$5=$G29),3,""))</f>
        <v/>
      </c>
      <c r="AZ29" s="75" t="str">
        <f aca="false">IF(AND(AZ$5&gt;$F29,AZ$5&lt;=$G29),IF($K29="Sí",2,1),IF(AND($D29=0,AZ$5=$G29),3,""))</f>
        <v/>
      </c>
      <c r="BA29" s="75" t="str">
        <f aca="false">IF(AND(BA$5&gt;$F29,BA$5&lt;=$G29),IF($K29="Sí",2,1),IF(AND($D29=0,BA$5=$G29),3,""))</f>
        <v/>
      </c>
      <c r="BB29" s="75" t="str">
        <f aca="false">IF(AND(BB$5&gt;$F29,BB$5&lt;=$G29),IF($K29="Sí",2,1),IF(AND($D29=0,BB$5=$G29),3,""))</f>
        <v/>
      </c>
      <c r="BC29" s="75" t="str">
        <f aca="false">IF(AND(BC$5&gt;$F29,BC$5&lt;=$G29),IF($K29="Sí",2,1),IF(AND($D29=0,BC$5=$G29),3,""))</f>
        <v/>
      </c>
      <c r="BD29" s="75" t="str">
        <f aca="false">IF(AND(BD$5&gt;$F29,BD$5&lt;=$G29),IF($K29="Sí",2,1),IF(AND($D29=0,BD$5=$G29),3,""))</f>
        <v/>
      </c>
      <c r="BE29" s="75" t="str">
        <f aca="false">IF(AND(BE$5&gt;$F29,BE$5&lt;=$G29),IF($K29="Sí",2,1),IF(AND($D29=0,BE$5=$G29),3,""))</f>
        <v/>
      </c>
      <c r="BF29" s="75" t="str">
        <f aca="false">IF(AND(BF$5&gt;$F29,BF$5&lt;=$G29),IF($K29="Sí",2,1),IF(AND($D29=0,BF$5=$G29),3,""))</f>
        <v/>
      </c>
      <c r="BG29" s="75" t="str">
        <f aca="false">IF(AND(BG$5&gt;$F29,BG$5&lt;=$G29),IF($K29="Sí",2,1),IF(AND($D29=0,BG$5=$G29),3,""))</f>
        <v/>
      </c>
      <c r="BH29" s="75" t="str">
        <f aca="false">IF(AND(BH$5&gt;$F29,BH$5&lt;=$G29),IF($K29="Sí",2,1),IF(AND($D29=0,BH$5=$G29),3,""))</f>
        <v/>
      </c>
      <c r="BI29" s="75" t="str">
        <f aca="false">IF(AND(BI$5&gt;$F29,BI$5&lt;=$G29),IF($K29="Sí",2,1),IF(AND($D29=0,BI$5=$G29),3,""))</f>
        <v/>
      </c>
      <c r="BJ29" s="75" t="str">
        <f aca="false">IF(AND(BJ$5&gt;$F29,BJ$5&lt;=$G29),IF($K29="Sí",2,1),IF(AND($D29=0,BJ$5=$G29),3,""))</f>
        <v/>
      </c>
      <c r="BK29" s="75" t="str">
        <f aca="false">IF(AND(BK$5&gt;$F29,BK$5&lt;=$G29),IF($K29="Sí",2,1),IF(AND($D29=0,BK$5=$G29),3,""))</f>
        <v/>
      </c>
      <c r="BL29" s="75" t="str">
        <f aca="false">IF(AND(BL$5&gt;$F29,BL$5&lt;=$G29),IF($K29="Sí",2,1),IF(AND($D29=0,BL$5=$G29),3,""))</f>
        <v/>
      </c>
      <c r="BM29" s="75" t="str">
        <f aca="false">IF(AND(BM$5&gt;$F29,BM$5&lt;=$G29),IF($K29="Sí",2,1),IF(AND($D29=0,BM$5=$G29),3,""))</f>
        <v/>
      </c>
      <c r="BN29" s="75" t="str">
        <f aca="false">IF(AND(BN$5&gt;$F29,BN$5&lt;=$G29),IF($K29="Sí",2,1),IF(AND($D29=0,BN$5=$G29),3,""))</f>
        <v/>
      </c>
      <c r="BO29" s="75" t="str">
        <f aca="false">IF(AND(BO$5&gt;$F29,BO$5&lt;=$G29),IF($K29="Sí",2,1),IF(AND($D29=0,BO$5=$G29),3,""))</f>
        <v/>
      </c>
      <c r="BQ29" s="59" t="n">
        <v>103</v>
      </c>
      <c r="BR29" s="59" t="n">
        <v>90</v>
      </c>
      <c r="BS29" s="59" t="n">
        <v>229</v>
      </c>
      <c r="BT29" s="59" t="n">
        <v>102</v>
      </c>
      <c r="BU29" s="59" t="n">
        <v>0</v>
      </c>
      <c r="BV29" s="59" t="n">
        <v>116</v>
      </c>
      <c r="BW29" s="76" t="n">
        <f aca="false">L29-640</f>
        <v>0</v>
      </c>
      <c r="BX29" s="77" t="n">
        <f aca="false">IF($D29=0,0,BQ29/$D29)</f>
        <v>17.1666666666667</v>
      </c>
      <c r="BY29" s="77" t="n">
        <f aca="false">IF($D29=0,0,BR29/$D29)</f>
        <v>15</v>
      </c>
      <c r="BZ29" s="77" t="n">
        <f aca="false">IF($D29=0,0,BS29/$D29)</f>
        <v>38.1666666666667</v>
      </c>
      <c r="CA29" s="77" t="n">
        <f aca="false">IF($D29=0,0,BT29/$D29)</f>
        <v>17</v>
      </c>
      <c r="CB29" s="77" t="n">
        <f aca="false">IF($D29=0,0,BU29/$D29)</f>
        <v>0</v>
      </c>
      <c r="CC29" s="77" t="n">
        <f aca="false">IF($D29=0,0,BV29/$D29)</f>
        <v>19.3333333333333</v>
      </c>
    </row>
    <row r="30" customFormat="false" ht="15" hidden="false" customHeight="true" outlineLevel="0" collapsed="false">
      <c r="A30" s="7" t="s">
        <v>1428</v>
      </c>
      <c r="B30" s="7" t="s">
        <v>1429</v>
      </c>
      <c r="C30" s="7" t="s">
        <v>1397</v>
      </c>
      <c r="D30" s="30" t="n">
        <v>2</v>
      </c>
      <c r="E30" s="7" t="s">
        <v>1430</v>
      </c>
      <c r="F30" s="32" t="n">
        <f aca="false">MAX(G24,G21)+Q30</f>
        <v>31</v>
      </c>
      <c r="G30" s="32" t="n">
        <f aca="false">F30+D30</f>
        <v>33</v>
      </c>
      <c r="H30" s="32" t="n">
        <f aca="false">I30-D30</f>
        <v>31</v>
      </c>
      <c r="I30" s="32" t="n">
        <f aca="false">MIN(H31,H35)</f>
        <v>33</v>
      </c>
      <c r="J30" s="32" t="n">
        <f aca="false">H30-F30</f>
        <v>0</v>
      </c>
      <c r="K30" s="71" t="str">
        <f aca="false">IF(J30=0,"Sí","")</f>
        <v>Sí</v>
      </c>
      <c r="L30" s="72" t="n">
        <f aca="false">SUM(BQ30:BV30)</f>
        <v>160</v>
      </c>
      <c r="M30" s="33" t="n">
        <f aca="false">SUMIFS(Cotizaciones!$J$5:$J$70,Cotizaciones!$C$5:$C$70,A30)</f>
        <v>0</v>
      </c>
      <c r="N30" s="32" t="n">
        <f aca="false">(L30*Supuestos!$B$47+M30*(1+Supuestos!$B$50))*(1+Supuestos!$B$51)/(1-Supuestos!$B$52)</f>
        <v>25991902.8340081</v>
      </c>
      <c r="O30" s="73" t="n">
        <f aca="false">$C$3+F30*7</f>
        <v>46615</v>
      </c>
      <c r="P30" s="73" t="n">
        <f aca="false">$C$3+G30*7-IF(D30&gt;0,1,0)</f>
        <v>46628</v>
      </c>
      <c r="Q30" s="74" t="n">
        <v>0</v>
      </c>
      <c r="R30" s="75" t="str">
        <f aca="false">IF(AND(R$5&gt;$F30,R$5&lt;=$G30),IF($K30="Sí",2,1),IF(AND($D30=0,R$5=$G30),3,""))</f>
        <v/>
      </c>
      <c r="S30" s="75" t="str">
        <f aca="false">IF(AND(S$5&gt;$F30,S$5&lt;=$G30),IF($K30="Sí",2,1),IF(AND($D30=0,S$5=$G30),3,""))</f>
        <v/>
      </c>
      <c r="T30" s="75" t="str">
        <f aca="false">IF(AND(T$5&gt;$F30,T$5&lt;=$G30),IF($K30="Sí",2,1),IF(AND($D30=0,T$5=$G30),3,""))</f>
        <v/>
      </c>
      <c r="U30" s="75" t="str">
        <f aca="false">IF(AND(U$5&gt;$F30,U$5&lt;=$G30),IF($K30="Sí",2,1),IF(AND($D30=0,U$5=$G30),3,""))</f>
        <v/>
      </c>
      <c r="V30" s="75" t="str">
        <f aca="false">IF(AND(V$5&gt;$F30,V$5&lt;=$G30),IF($K30="Sí",2,1),IF(AND($D30=0,V$5=$G30),3,""))</f>
        <v/>
      </c>
      <c r="W30" s="75" t="str">
        <f aca="false">IF(AND(W$5&gt;$F30,W$5&lt;=$G30),IF($K30="Sí",2,1),IF(AND($D30=0,W$5=$G30),3,""))</f>
        <v/>
      </c>
      <c r="X30" s="75" t="str">
        <f aca="false">IF(AND(X$5&gt;$F30,X$5&lt;=$G30),IF($K30="Sí",2,1),IF(AND($D30=0,X$5=$G30),3,""))</f>
        <v/>
      </c>
      <c r="Y30" s="75" t="str">
        <f aca="false">IF(AND(Y$5&gt;$F30,Y$5&lt;=$G30),IF($K30="Sí",2,1),IF(AND($D30=0,Y$5=$G30),3,""))</f>
        <v/>
      </c>
      <c r="Z30" s="75" t="str">
        <f aca="false">IF(AND(Z$5&gt;$F30,Z$5&lt;=$G30),IF($K30="Sí",2,1),IF(AND($D30=0,Z$5=$G30),3,""))</f>
        <v/>
      </c>
      <c r="AA30" s="75" t="str">
        <f aca="false">IF(AND(AA$5&gt;$F30,AA$5&lt;=$G30),IF($K30="Sí",2,1),IF(AND($D30=0,AA$5=$G30),3,""))</f>
        <v/>
      </c>
      <c r="AB30" s="75" t="str">
        <f aca="false">IF(AND(AB$5&gt;$F30,AB$5&lt;=$G30),IF($K30="Sí",2,1),IF(AND($D30=0,AB$5=$G30),3,""))</f>
        <v/>
      </c>
      <c r="AC30" s="75" t="str">
        <f aca="false">IF(AND(AC$5&gt;$F30,AC$5&lt;=$G30),IF($K30="Sí",2,1),IF(AND($D30=0,AC$5=$G30),3,""))</f>
        <v/>
      </c>
      <c r="AD30" s="75" t="str">
        <f aca="false">IF(AND(AD$5&gt;$F30,AD$5&lt;=$G30),IF($K30="Sí",2,1),IF(AND($D30=0,AD$5=$G30),3,""))</f>
        <v/>
      </c>
      <c r="AE30" s="75" t="str">
        <f aca="false">IF(AND(AE$5&gt;$F30,AE$5&lt;=$G30),IF($K30="Sí",2,1),IF(AND($D30=0,AE$5=$G30),3,""))</f>
        <v/>
      </c>
      <c r="AF30" s="75" t="str">
        <f aca="false">IF(AND(AF$5&gt;$F30,AF$5&lt;=$G30),IF($K30="Sí",2,1),IF(AND($D30=0,AF$5=$G30),3,""))</f>
        <v/>
      </c>
      <c r="AG30" s="75" t="str">
        <f aca="false">IF(AND(AG$5&gt;$F30,AG$5&lt;=$G30),IF($K30="Sí",2,1),IF(AND($D30=0,AG$5=$G30),3,""))</f>
        <v/>
      </c>
      <c r="AH30" s="75" t="str">
        <f aca="false">IF(AND(AH$5&gt;$F30,AH$5&lt;=$G30),IF($K30="Sí",2,1),IF(AND($D30=0,AH$5=$G30),3,""))</f>
        <v/>
      </c>
      <c r="AI30" s="75" t="str">
        <f aca="false">IF(AND(AI$5&gt;$F30,AI$5&lt;=$G30),IF($K30="Sí",2,1),IF(AND($D30=0,AI$5=$G30),3,""))</f>
        <v/>
      </c>
      <c r="AJ30" s="75" t="str">
        <f aca="false">IF(AND(AJ$5&gt;$F30,AJ$5&lt;=$G30),IF($K30="Sí",2,1),IF(AND($D30=0,AJ$5=$G30),3,""))</f>
        <v/>
      </c>
      <c r="AK30" s="75" t="str">
        <f aca="false">IF(AND(AK$5&gt;$F30,AK$5&lt;=$G30),IF($K30="Sí",2,1),IF(AND($D30=0,AK$5=$G30),3,""))</f>
        <v/>
      </c>
      <c r="AL30" s="75" t="str">
        <f aca="false">IF(AND(AL$5&gt;$F30,AL$5&lt;=$G30),IF($K30="Sí",2,1),IF(AND($D30=0,AL$5=$G30),3,""))</f>
        <v/>
      </c>
      <c r="AM30" s="75" t="str">
        <f aca="false">IF(AND(AM$5&gt;$F30,AM$5&lt;=$G30),IF($K30="Sí",2,1),IF(AND($D30=0,AM$5=$G30),3,""))</f>
        <v/>
      </c>
      <c r="AN30" s="75" t="str">
        <f aca="false">IF(AND(AN$5&gt;$F30,AN$5&lt;=$G30),IF($K30="Sí",2,1),IF(AND($D30=0,AN$5=$G30),3,""))</f>
        <v/>
      </c>
      <c r="AO30" s="75" t="str">
        <f aca="false">IF(AND(AO$5&gt;$F30,AO$5&lt;=$G30),IF($K30="Sí",2,1),IF(AND($D30=0,AO$5=$G30),3,""))</f>
        <v/>
      </c>
      <c r="AP30" s="75" t="str">
        <f aca="false">IF(AND(AP$5&gt;$F30,AP$5&lt;=$G30),IF($K30="Sí",2,1),IF(AND($D30=0,AP$5=$G30),3,""))</f>
        <v/>
      </c>
      <c r="AQ30" s="75" t="str">
        <f aca="false">IF(AND(AQ$5&gt;$F30,AQ$5&lt;=$G30),IF($K30="Sí",2,1),IF(AND($D30=0,AQ$5=$G30),3,""))</f>
        <v/>
      </c>
      <c r="AR30" s="75" t="str">
        <f aca="false">IF(AND(AR$5&gt;$F30,AR$5&lt;=$G30),IF($K30="Sí",2,1),IF(AND($D30=0,AR$5=$G30),3,""))</f>
        <v/>
      </c>
      <c r="AS30" s="75" t="str">
        <f aca="false">IF(AND(AS$5&gt;$F30,AS$5&lt;=$G30),IF($K30="Sí",2,1),IF(AND($D30=0,AS$5=$G30),3,""))</f>
        <v/>
      </c>
      <c r="AT30" s="75" t="str">
        <f aca="false">IF(AND(AT$5&gt;$F30,AT$5&lt;=$G30),IF($K30="Sí",2,1),IF(AND($D30=0,AT$5=$G30),3,""))</f>
        <v/>
      </c>
      <c r="AU30" s="75" t="str">
        <f aca="false">IF(AND(AU$5&gt;$F30,AU$5&lt;=$G30),IF($K30="Sí",2,1),IF(AND($D30=0,AU$5=$G30),3,""))</f>
        <v/>
      </c>
      <c r="AV30" s="75" t="str">
        <f aca="false">IF(AND(AV$5&gt;$F30,AV$5&lt;=$G30),IF($K30="Sí",2,1),IF(AND($D30=0,AV$5=$G30),3,""))</f>
        <v/>
      </c>
      <c r="AW30" s="75" t="n">
        <f aca="false">IF(AND(AW$5&gt;$F30,AW$5&lt;=$G30),IF($K30="Sí",2,1),IF(AND($D30=0,AW$5=$G30),3,""))</f>
        <v>2</v>
      </c>
      <c r="AX30" s="75" t="n">
        <f aca="false">IF(AND(AX$5&gt;$F30,AX$5&lt;=$G30),IF($K30="Sí",2,1),IF(AND($D30=0,AX$5=$G30),3,""))</f>
        <v>2</v>
      </c>
      <c r="AY30" s="75" t="str">
        <f aca="false">IF(AND(AY$5&gt;$F30,AY$5&lt;=$G30),IF($K30="Sí",2,1),IF(AND($D30=0,AY$5=$G30),3,""))</f>
        <v/>
      </c>
      <c r="AZ30" s="75" t="str">
        <f aca="false">IF(AND(AZ$5&gt;$F30,AZ$5&lt;=$G30),IF($K30="Sí",2,1),IF(AND($D30=0,AZ$5=$G30),3,""))</f>
        <v/>
      </c>
      <c r="BA30" s="75" t="str">
        <f aca="false">IF(AND(BA$5&gt;$F30,BA$5&lt;=$G30),IF($K30="Sí",2,1),IF(AND($D30=0,BA$5=$G30),3,""))</f>
        <v/>
      </c>
      <c r="BB30" s="75" t="str">
        <f aca="false">IF(AND(BB$5&gt;$F30,BB$5&lt;=$G30),IF($K30="Sí",2,1),IF(AND($D30=0,BB$5=$G30),3,""))</f>
        <v/>
      </c>
      <c r="BC30" s="75" t="str">
        <f aca="false">IF(AND(BC$5&gt;$F30,BC$5&lt;=$G30),IF($K30="Sí",2,1),IF(AND($D30=0,BC$5=$G30),3,""))</f>
        <v/>
      </c>
      <c r="BD30" s="75" t="str">
        <f aca="false">IF(AND(BD$5&gt;$F30,BD$5&lt;=$G30),IF($K30="Sí",2,1),IF(AND($D30=0,BD$5=$G30),3,""))</f>
        <v/>
      </c>
      <c r="BE30" s="75" t="str">
        <f aca="false">IF(AND(BE$5&gt;$F30,BE$5&lt;=$G30),IF($K30="Sí",2,1),IF(AND($D30=0,BE$5=$G30),3,""))</f>
        <v/>
      </c>
      <c r="BF30" s="75" t="str">
        <f aca="false">IF(AND(BF$5&gt;$F30,BF$5&lt;=$G30),IF($K30="Sí",2,1),IF(AND($D30=0,BF$5=$G30),3,""))</f>
        <v/>
      </c>
      <c r="BG30" s="75" t="str">
        <f aca="false">IF(AND(BG$5&gt;$F30,BG$5&lt;=$G30),IF($K30="Sí",2,1),IF(AND($D30=0,BG$5=$G30),3,""))</f>
        <v/>
      </c>
      <c r="BH30" s="75" t="str">
        <f aca="false">IF(AND(BH$5&gt;$F30,BH$5&lt;=$G30),IF($K30="Sí",2,1),IF(AND($D30=0,BH$5=$G30),3,""))</f>
        <v/>
      </c>
      <c r="BI30" s="75" t="str">
        <f aca="false">IF(AND(BI$5&gt;$F30,BI$5&lt;=$G30),IF($K30="Sí",2,1),IF(AND($D30=0,BI$5=$G30),3,""))</f>
        <v/>
      </c>
      <c r="BJ30" s="75" t="str">
        <f aca="false">IF(AND(BJ$5&gt;$F30,BJ$5&lt;=$G30),IF($K30="Sí",2,1),IF(AND($D30=0,BJ$5=$G30),3,""))</f>
        <v/>
      </c>
      <c r="BK30" s="75" t="str">
        <f aca="false">IF(AND(BK$5&gt;$F30,BK$5&lt;=$G30),IF($K30="Sí",2,1),IF(AND($D30=0,BK$5=$G30),3,""))</f>
        <v/>
      </c>
      <c r="BL30" s="75" t="str">
        <f aca="false">IF(AND(BL$5&gt;$F30,BL$5&lt;=$G30),IF($K30="Sí",2,1),IF(AND($D30=0,BL$5=$G30),3,""))</f>
        <v/>
      </c>
      <c r="BM30" s="75" t="str">
        <f aca="false">IF(AND(BM$5&gt;$F30,BM$5&lt;=$G30),IF($K30="Sí",2,1),IF(AND($D30=0,BM$5=$G30),3,""))</f>
        <v/>
      </c>
      <c r="BN30" s="75" t="str">
        <f aca="false">IF(AND(BN$5&gt;$F30,BN$5&lt;=$G30),IF($K30="Sí",2,1),IF(AND($D30=0,BN$5=$G30),3,""))</f>
        <v/>
      </c>
      <c r="BO30" s="75" t="str">
        <f aca="false">IF(AND(BO$5&gt;$F30,BO$5&lt;=$G30),IF($K30="Sí",2,1),IF(AND($D30=0,BO$5=$G30),3,""))</f>
        <v/>
      </c>
      <c r="BQ30" s="59" t="n">
        <v>0</v>
      </c>
      <c r="BR30" s="59" t="n">
        <v>0</v>
      </c>
      <c r="BS30" s="59" t="n">
        <v>0</v>
      </c>
      <c r="BT30" s="59" t="n">
        <v>53</v>
      </c>
      <c r="BU30" s="59" t="n">
        <v>58</v>
      </c>
      <c r="BV30" s="59" t="n">
        <v>49</v>
      </c>
      <c r="BW30" s="76" t="n">
        <f aca="false">L30-160</f>
        <v>0</v>
      </c>
      <c r="BX30" s="77" t="n">
        <f aca="false">IF($D30=0,0,BQ30/$D30)</f>
        <v>0</v>
      </c>
      <c r="BY30" s="77" t="n">
        <f aca="false">IF($D30=0,0,BR30/$D30)</f>
        <v>0</v>
      </c>
      <c r="BZ30" s="77" t="n">
        <f aca="false">IF($D30=0,0,BS30/$D30)</f>
        <v>0</v>
      </c>
      <c r="CA30" s="77" t="n">
        <f aca="false">IF($D30=0,0,BT30/$D30)</f>
        <v>26.5</v>
      </c>
      <c r="CB30" s="77" t="n">
        <f aca="false">IF($D30=0,0,BU30/$D30)</f>
        <v>29</v>
      </c>
      <c r="CC30" s="77" t="n">
        <f aca="false">IF($D30=0,0,BV30/$D30)</f>
        <v>24.5</v>
      </c>
    </row>
    <row r="31" customFormat="false" ht="15" hidden="false" customHeight="true" outlineLevel="0" collapsed="false">
      <c r="A31" s="5" t="s">
        <v>1431</v>
      </c>
      <c r="B31" s="7" t="s">
        <v>1432</v>
      </c>
      <c r="C31" s="7" t="s">
        <v>1378</v>
      </c>
      <c r="D31" s="30" t="n">
        <v>0</v>
      </c>
      <c r="E31" s="7" t="s">
        <v>1433</v>
      </c>
      <c r="F31" s="32" t="n">
        <f aca="false">MAX(G29,G30,G20)+Q31</f>
        <v>33</v>
      </c>
      <c r="G31" s="32" t="n">
        <f aca="false">F31+D31</f>
        <v>33</v>
      </c>
      <c r="H31" s="32" t="n">
        <f aca="false">I31-D31</f>
        <v>33</v>
      </c>
      <c r="I31" s="32" t="n">
        <f aca="false">MIN(H33,H34)</f>
        <v>33</v>
      </c>
      <c r="J31" s="32" t="n">
        <f aca="false">H31-F31</f>
        <v>0</v>
      </c>
      <c r="K31" s="71" t="str">
        <f aca="false">IF(J31=0,"Sí","")</f>
        <v>Sí</v>
      </c>
      <c r="L31" s="72" t="n">
        <f aca="false">SUM(BQ31:BV31)</f>
        <v>0</v>
      </c>
      <c r="M31" s="33" t="n">
        <f aca="false">SUMIFS(Cotizaciones!$J$5:$J$70,Cotizaciones!$C$5:$C$70,A31)</f>
        <v>0</v>
      </c>
      <c r="N31" s="32" t="n">
        <f aca="false">(L31*Supuestos!$B$47+M31*(1+Supuestos!$B$50))*(1+Supuestos!$B$51)/(1-Supuestos!$B$52)</f>
        <v>0</v>
      </c>
      <c r="O31" s="73" t="n">
        <f aca="false">$C$3+F31*7</f>
        <v>46629</v>
      </c>
      <c r="P31" s="73" t="n">
        <f aca="false">$C$3+G31*7-IF(D31&gt;0,1,0)</f>
        <v>46629</v>
      </c>
      <c r="Q31" s="74" t="n">
        <v>0</v>
      </c>
      <c r="R31" s="75" t="str">
        <f aca="false">IF(AND(R$5&gt;$F31,R$5&lt;=$G31),IF($K31="Sí",2,1),IF(AND($D31=0,R$5=$G31),3,""))</f>
        <v/>
      </c>
      <c r="S31" s="75" t="str">
        <f aca="false">IF(AND(S$5&gt;$F31,S$5&lt;=$G31),IF($K31="Sí",2,1),IF(AND($D31=0,S$5=$G31),3,""))</f>
        <v/>
      </c>
      <c r="T31" s="75" t="str">
        <f aca="false">IF(AND(T$5&gt;$F31,T$5&lt;=$G31),IF($K31="Sí",2,1),IF(AND($D31=0,T$5=$G31),3,""))</f>
        <v/>
      </c>
      <c r="U31" s="75" t="str">
        <f aca="false">IF(AND(U$5&gt;$F31,U$5&lt;=$G31),IF($K31="Sí",2,1),IF(AND($D31=0,U$5=$G31),3,""))</f>
        <v/>
      </c>
      <c r="V31" s="75" t="str">
        <f aca="false">IF(AND(V$5&gt;$F31,V$5&lt;=$G31),IF($K31="Sí",2,1),IF(AND($D31=0,V$5=$G31),3,""))</f>
        <v/>
      </c>
      <c r="W31" s="75" t="str">
        <f aca="false">IF(AND(W$5&gt;$F31,W$5&lt;=$G31),IF($K31="Sí",2,1),IF(AND($D31=0,W$5=$G31),3,""))</f>
        <v/>
      </c>
      <c r="X31" s="75" t="str">
        <f aca="false">IF(AND(X$5&gt;$F31,X$5&lt;=$G31),IF($K31="Sí",2,1),IF(AND($D31=0,X$5=$G31),3,""))</f>
        <v/>
      </c>
      <c r="Y31" s="75" t="str">
        <f aca="false">IF(AND(Y$5&gt;$F31,Y$5&lt;=$G31),IF($K31="Sí",2,1),IF(AND($D31=0,Y$5=$G31),3,""))</f>
        <v/>
      </c>
      <c r="Z31" s="75" t="str">
        <f aca="false">IF(AND(Z$5&gt;$F31,Z$5&lt;=$G31),IF($K31="Sí",2,1),IF(AND($D31=0,Z$5=$G31),3,""))</f>
        <v/>
      </c>
      <c r="AA31" s="75" t="str">
        <f aca="false">IF(AND(AA$5&gt;$F31,AA$5&lt;=$G31),IF($K31="Sí",2,1),IF(AND($D31=0,AA$5=$G31),3,""))</f>
        <v/>
      </c>
      <c r="AB31" s="75" t="str">
        <f aca="false">IF(AND(AB$5&gt;$F31,AB$5&lt;=$G31),IF($K31="Sí",2,1),IF(AND($D31=0,AB$5=$G31),3,""))</f>
        <v/>
      </c>
      <c r="AC31" s="75" t="str">
        <f aca="false">IF(AND(AC$5&gt;$F31,AC$5&lt;=$G31),IF($K31="Sí",2,1),IF(AND($D31=0,AC$5=$G31),3,""))</f>
        <v/>
      </c>
      <c r="AD31" s="75" t="str">
        <f aca="false">IF(AND(AD$5&gt;$F31,AD$5&lt;=$G31),IF($K31="Sí",2,1),IF(AND($D31=0,AD$5=$G31),3,""))</f>
        <v/>
      </c>
      <c r="AE31" s="75" t="str">
        <f aca="false">IF(AND(AE$5&gt;$F31,AE$5&lt;=$G31),IF($K31="Sí",2,1),IF(AND($D31=0,AE$5=$G31),3,""))</f>
        <v/>
      </c>
      <c r="AF31" s="75" t="str">
        <f aca="false">IF(AND(AF$5&gt;$F31,AF$5&lt;=$G31),IF($K31="Sí",2,1),IF(AND($D31=0,AF$5=$G31),3,""))</f>
        <v/>
      </c>
      <c r="AG31" s="75" t="str">
        <f aca="false">IF(AND(AG$5&gt;$F31,AG$5&lt;=$G31),IF($K31="Sí",2,1),IF(AND($D31=0,AG$5=$G31),3,""))</f>
        <v/>
      </c>
      <c r="AH31" s="75" t="str">
        <f aca="false">IF(AND(AH$5&gt;$F31,AH$5&lt;=$G31),IF($K31="Sí",2,1),IF(AND($D31=0,AH$5=$G31),3,""))</f>
        <v/>
      </c>
      <c r="AI31" s="75" t="str">
        <f aca="false">IF(AND(AI$5&gt;$F31,AI$5&lt;=$G31),IF($K31="Sí",2,1),IF(AND($D31=0,AI$5=$G31),3,""))</f>
        <v/>
      </c>
      <c r="AJ31" s="75" t="str">
        <f aca="false">IF(AND(AJ$5&gt;$F31,AJ$5&lt;=$G31),IF($K31="Sí",2,1),IF(AND($D31=0,AJ$5=$G31),3,""))</f>
        <v/>
      </c>
      <c r="AK31" s="75" t="str">
        <f aca="false">IF(AND(AK$5&gt;$F31,AK$5&lt;=$G31),IF($K31="Sí",2,1),IF(AND($D31=0,AK$5=$G31),3,""))</f>
        <v/>
      </c>
      <c r="AL31" s="75" t="str">
        <f aca="false">IF(AND(AL$5&gt;$F31,AL$5&lt;=$G31),IF($K31="Sí",2,1),IF(AND($D31=0,AL$5=$G31),3,""))</f>
        <v/>
      </c>
      <c r="AM31" s="75" t="str">
        <f aca="false">IF(AND(AM$5&gt;$F31,AM$5&lt;=$G31),IF($K31="Sí",2,1),IF(AND($D31=0,AM$5=$G31),3,""))</f>
        <v/>
      </c>
      <c r="AN31" s="75" t="str">
        <f aca="false">IF(AND(AN$5&gt;$F31,AN$5&lt;=$G31),IF($K31="Sí",2,1),IF(AND($D31=0,AN$5=$G31),3,""))</f>
        <v/>
      </c>
      <c r="AO31" s="75" t="str">
        <f aca="false">IF(AND(AO$5&gt;$F31,AO$5&lt;=$G31),IF($K31="Sí",2,1),IF(AND($D31=0,AO$5=$G31),3,""))</f>
        <v/>
      </c>
      <c r="AP31" s="75" t="str">
        <f aca="false">IF(AND(AP$5&gt;$F31,AP$5&lt;=$G31),IF($K31="Sí",2,1),IF(AND($D31=0,AP$5=$G31),3,""))</f>
        <v/>
      </c>
      <c r="AQ31" s="75" t="str">
        <f aca="false">IF(AND(AQ$5&gt;$F31,AQ$5&lt;=$G31),IF($K31="Sí",2,1),IF(AND($D31=0,AQ$5=$G31),3,""))</f>
        <v/>
      </c>
      <c r="AR31" s="75" t="str">
        <f aca="false">IF(AND(AR$5&gt;$F31,AR$5&lt;=$G31),IF($K31="Sí",2,1),IF(AND($D31=0,AR$5=$G31),3,""))</f>
        <v/>
      </c>
      <c r="AS31" s="75" t="str">
        <f aca="false">IF(AND(AS$5&gt;$F31,AS$5&lt;=$G31),IF($K31="Sí",2,1),IF(AND($D31=0,AS$5=$G31),3,""))</f>
        <v/>
      </c>
      <c r="AT31" s="75" t="str">
        <f aca="false">IF(AND(AT$5&gt;$F31,AT$5&lt;=$G31),IF($K31="Sí",2,1),IF(AND($D31=0,AT$5=$G31),3,""))</f>
        <v/>
      </c>
      <c r="AU31" s="75" t="str">
        <f aca="false">IF(AND(AU$5&gt;$F31,AU$5&lt;=$G31),IF($K31="Sí",2,1),IF(AND($D31=0,AU$5=$G31),3,""))</f>
        <v/>
      </c>
      <c r="AV31" s="75" t="str">
        <f aca="false">IF(AND(AV$5&gt;$F31,AV$5&lt;=$G31),IF($K31="Sí",2,1),IF(AND($D31=0,AV$5=$G31),3,""))</f>
        <v/>
      </c>
      <c r="AW31" s="75" t="str">
        <f aca="false">IF(AND(AW$5&gt;$F31,AW$5&lt;=$G31),IF($K31="Sí",2,1),IF(AND($D31=0,AW$5=$G31),3,""))</f>
        <v/>
      </c>
      <c r="AX31" s="75" t="n">
        <f aca="false">IF(AND(AX$5&gt;$F31,AX$5&lt;=$G31),IF($K31="Sí",2,1),IF(AND($D31=0,AX$5=$G31),3,""))</f>
        <v>3</v>
      </c>
      <c r="AY31" s="75" t="str">
        <f aca="false">IF(AND(AY$5&gt;$F31,AY$5&lt;=$G31),IF($K31="Sí",2,1),IF(AND($D31=0,AY$5=$G31),3,""))</f>
        <v/>
      </c>
      <c r="AZ31" s="75" t="str">
        <f aca="false">IF(AND(AZ$5&gt;$F31,AZ$5&lt;=$G31),IF($K31="Sí",2,1),IF(AND($D31=0,AZ$5=$G31),3,""))</f>
        <v/>
      </c>
      <c r="BA31" s="75" t="str">
        <f aca="false">IF(AND(BA$5&gt;$F31,BA$5&lt;=$G31),IF($K31="Sí",2,1),IF(AND($D31=0,BA$5=$G31),3,""))</f>
        <v/>
      </c>
      <c r="BB31" s="75" t="str">
        <f aca="false">IF(AND(BB$5&gt;$F31,BB$5&lt;=$G31),IF($K31="Sí",2,1),IF(AND($D31=0,BB$5=$G31),3,""))</f>
        <v/>
      </c>
      <c r="BC31" s="75" t="str">
        <f aca="false">IF(AND(BC$5&gt;$F31,BC$5&lt;=$G31),IF($K31="Sí",2,1),IF(AND($D31=0,BC$5=$G31),3,""))</f>
        <v/>
      </c>
      <c r="BD31" s="75" t="str">
        <f aca="false">IF(AND(BD$5&gt;$F31,BD$5&lt;=$G31),IF($K31="Sí",2,1),IF(AND($D31=0,BD$5=$G31),3,""))</f>
        <v/>
      </c>
      <c r="BE31" s="75" t="str">
        <f aca="false">IF(AND(BE$5&gt;$F31,BE$5&lt;=$G31),IF($K31="Sí",2,1),IF(AND($D31=0,BE$5=$G31),3,""))</f>
        <v/>
      </c>
      <c r="BF31" s="75" t="str">
        <f aca="false">IF(AND(BF$5&gt;$F31,BF$5&lt;=$G31),IF($K31="Sí",2,1),IF(AND($D31=0,BF$5=$G31),3,""))</f>
        <v/>
      </c>
      <c r="BG31" s="75" t="str">
        <f aca="false">IF(AND(BG$5&gt;$F31,BG$5&lt;=$G31),IF($K31="Sí",2,1),IF(AND($D31=0,BG$5=$G31),3,""))</f>
        <v/>
      </c>
      <c r="BH31" s="75" t="str">
        <f aca="false">IF(AND(BH$5&gt;$F31,BH$5&lt;=$G31),IF($K31="Sí",2,1),IF(AND($D31=0,BH$5=$G31),3,""))</f>
        <v/>
      </c>
      <c r="BI31" s="75" t="str">
        <f aca="false">IF(AND(BI$5&gt;$F31,BI$5&lt;=$G31),IF($K31="Sí",2,1),IF(AND($D31=0,BI$5=$G31),3,""))</f>
        <v/>
      </c>
      <c r="BJ31" s="75" t="str">
        <f aca="false">IF(AND(BJ$5&gt;$F31,BJ$5&lt;=$G31),IF($K31="Sí",2,1),IF(AND($D31=0,BJ$5=$G31),3,""))</f>
        <v/>
      </c>
      <c r="BK31" s="75" t="str">
        <f aca="false">IF(AND(BK$5&gt;$F31,BK$5&lt;=$G31),IF($K31="Sí",2,1),IF(AND($D31=0,BK$5=$G31),3,""))</f>
        <v/>
      </c>
      <c r="BL31" s="75" t="str">
        <f aca="false">IF(AND(BL$5&gt;$F31,BL$5&lt;=$G31),IF($K31="Sí",2,1),IF(AND($D31=0,BL$5=$G31),3,""))</f>
        <v/>
      </c>
      <c r="BM31" s="75" t="str">
        <f aca="false">IF(AND(BM$5&gt;$F31,BM$5&lt;=$G31),IF($K31="Sí",2,1),IF(AND($D31=0,BM$5=$G31),3,""))</f>
        <v/>
      </c>
      <c r="BN31" s="75" t="str">
        <f aca="false">IF(AND(BN$5&gt;$F31,BN$5&lt;=$G31),IF($K31="Sí",2,1),IF(AND($D31=0,BN$5=$G31),3,""))</f>
        <v/>
      </c>
      <c r="BO31" s="75" t="str">
        <f aca="false">IF(AND(BO$5&gt;$F31,BO$5&lt;=$G31),IF($K31="Sí",2,1),IF(AND($D31=0,BO$5=$G31),3,""))</f>
        <v/>
      </c>
      <c r="BQ31" s="59" t="n">
        <v>0</v>
      </c>
      <c r="BR31" s="59" t="n">
        <v>0</v>
      </c>
      <c r="BS31" s="59" t="n">
        <v>0</v>
      </c>
      <c r="BT31" s="59" t="n">
        <v>0</v>
      </c>
      <c r="BU31" s="59" t="n">
        <v>0</v>
      </c>
      <c r="BV31" s="59" t="n">
        <v>0</v>
      </c>
      <c r="BW31" s="76" t="n">
        <f aca="false">L31-0</f>
        <v>0</v>
      </c>
      <c r="BX31" s="77" t="n">
        <f aca="false">IF($D31=0,0,BQ31/$D31)</f>
        <v>0</v>
      </c>
      <c r="BY31" s="77" t="n">
        <f aca="false">IF($D31=0,0,BR31/$D31)</f>
        <v>0</v>
      </c>
      <c r="BZ31" s="77" t="n">
        <f aca="false">IF($D31=0,0,BS31/$D31)</f>
        <v>0</v>
      </c>
      <c r="CA31" s="77" t="n">
        <f aca="false">IF($D31=0,0,BT31/$D31)</f>
        <v>0</v>
      </c>
      <c r="CB31" s="77" t="n">
        <f aca="false">IF($D31=0,0,BU31/$D31)</f>
        <v>0</v>
      </c>
      <c r="CC31" s="77" t="n">
        <f aca="false">IF($D31=0,0,BV31/$D31)</f>
        <v>0</v>
      </c>
    </row>
    <row r="32" customFormat="false" ht="15" hidden="false" customHeight="true" outlineLevel="0" collapsed="false">
      <c r="A32" s="7" t="s">
        <v>1082</v>
      </c>
      <c r="B32" s="7" t="s">
        <v>1434</v>
      </c>
      <c r="C32" s="7" t="s">
        <v>1385</v>
      </c>
      <c r="D32" s="30" t="n">
        <v>6</v>
      </c>
      <c r="E32" s="7" t="s">
        <v>1402</v>
      </c>
      <c r="F32" s="32" t="n">
        <f aca="false">MAX(G16)+Q32</f>
        <v>25</v>
      </c>
      <c r="G32" s="32" t="n">
        <f aca="false">F32+D32</f>
        <v>31</v>
      </c>
      <c r="H32" s="32" t="n">
        <f aca="false">I32-D32</f>
        <v>27</v>
      </c>
      <c r="I32" s="32" t="n">
        <f aca="false">MIN(H33,H34,H35)</f>
        <v>33</v>
      </c>
      <c r="J32" s="32" t="n">
        <f aca="false">H32-F32</f>
        <v>2</v>
      </c>
      <c r="K32" s="71" t="str">
        <f aca="false">IF(J32=0,"Sí","")</f>
        <v/>
      </c>
      <c r="L32" s="72" t="n">
        <f aca="false">SUM(BQ32:BV32)</f>
        <v>160</v>
      </c>
      <c r="M32" s="33" t="n">
        <f aca="false">SUMIFS(Cotizaciones!$J$5:$J$70,Cotizaciones!$C$5:$C$70,A32)</f>
        <v>120000000</v>
      </c>
      <c r="N32" s="32" t="n">
        <f aca="false">(L32*Supuestos!$B$47+M32*(1+Supuestos!$B$50))*(1+Supuestos!$B$51)/(1-Supuestos!$B$52)</f>
        <v>168947368.421053</v>
      </c>
      <c r="O32" s="73" t="n">
        <f aca="false">$C$3+F32*7</f>
        <v>46573</v>
      </c>
      <c r="P32" s="73" t="n">
        <f aca="false">$C$3+G32*7-IF(D32&gt;0,1,0)</f>
        <v>46614</v>
      </c>
      <c r="Q32" s="74" t="n">
        <v>14</v>
      </c>
      <c r="R32" s="75" t="str">
        <f aca="false">IF(AND(R$5&gt;$F32,R$5&lt;=$G32),IF($K32="Sí",2,1),IF(AND($D32=0,R$5=$G32),3,""))</f>
        <v/>
      </c>
      <c r="S32" s="75" t="str">
        <f aca="false">IF(AND(S$5&gt;$F32,S$5&lt;=$G32),IF($K32="Sí",2,1),IF(AND($D32=0,S$5=$G32),3,""))</f>
        <v/>
      </c>
      <c r="T32" s="75" t="str">
        <f aca="false">IF(AND(T$5&gt;$F32,T$5&lt;=$G32),IF($K32="Sí",2,1),IF(AND($D32=0,T$5=$G32),3,""))</f>
        <v/>
      </c>
      <c r="U32" s="75" t="str">
        <f aca="false">IF(AND(U$5&gt;$F32,U$5&lt;=$G32),IF($K32="Sí",2,1),IF(AND($D32=0,U$5=$G32),3,""))</f>
        <v/>
      </c>
      <c r="V32" s="75" t="str">
        <f aca="false">IF(AND(V$5&gt;$F32,V$5&lt;=$G32),IF($K32="Sí",2,1),IF(AND($D32=0,V$5=$G32),3,""))</f>
        <v/>
      </c>
      <c r="W32" s="75" t="str">
        <f aca="false">IF(AND(W$5&gt;$F32,W$5&lt;=$G32),IF($K32="Sí",2,1),IF(AND($D32=0,W$5=$G32),3,""))</f>
        <v/>
      </c>
      <c r="X32" s="75" t="str">
        <f aca="false">IF(AND(X$5&gt;$F32,X$5&lt;=$G32),IF($K32="Sí",2,1),IF(AND($D32=0,X$5=$G32),3,""))</f>
        <v/>
      </c>
      <c r="Y32" s="75" t="str">
        <f aca="false">IF(AND(Y$5&gt;$F32,Y$5&lt;=$G32),IF($K32="Sí",2,1),IF(AND($D32=0,Y$5=$G32),3,""))</f>
        <v/>
      </c>
      <c r="Z32" s="75" t="str">
        <f aca="false">IF(AND(Z$5&gt;$F32,Z$5&lt;=$G32),IF($K32="Sí",2,1),IF(AND($D32=0,Z$5=$G32),3,""))</f>
        <v/>
      </c>
      <c r="AA32" s="75" t="str">
        <f aca="false">IF(AND(AA$5&gt;$F32,AA$5&lt;=$G32),IF($K32="Sí",2,1),IF(AND($D32=0,AA$5=$G32),3,""))</f>
        <v/>
      </c>
      <c r="AB32" s="75" t="str">
        <f aca="false">IF(AND(AB$5&gt;$F32,AB$5&lt;=$G32),IF($K32="Sí",2,1),IF(AND($D32=0,AB$5=$G32),3,""))</f>
        <v/>
      </c>
      <c r="AC32" s="75" t="str">
        <f aca="false">IF(AND(AC$5&gt;$F32,AC$5&lt;=$G32),IF($K32="Sí",2,1),IF(AND($D32=0,AC$5=$G32),3,""))</f>
        <v/>
      </c>
      <c r="AD32" s="75" t="str">
        <f aca="false">IF(AND(AD$5&gt;$F32,AD$5&lt;=$G32),IF($K32="Sí",2,1),IF(AND($D32=0,AD$5=$G32),3,""))</f>
        <v/>
      </c>
      <c r="AE32" s="75" t="str">
        <f aca="false">IF(AND(AE$5&gt;$F32,AE$5&lt;=$G32),IF($K32="Sí",2,1),IF(AND($D32=0,AE$5=$G32),3,""))</f>
        <v/>
      </c>
      <c r="AF32" s="75" t="str">
        <f aca="false">IF(AND(AF$5&gt;$F32,AF$5&lt;=$G32),IF($K32="Sí",2,1),IF(AND($D32=0,AF$5=$G32),3,""))</f>
        <v/>
      </c>
      <c r="AG32" s="75" t="str">
        <f aca="false">IF(AND(AG$5&gt;$F32,AG$5&lt;=$G32),IF($K32="Sí",2,1),IF(AND($D32=0,AG$5=$G32),3,""))</f>
        <v/>
      </c>
      <c r="AH32" s="75" t="str">
        <f aca="false">IF(AND(AH$5&gt;$F32,AH$5&lt;=$G32),IF($K32="Sí",2,1),IF(AND($D32=0,AH$5=$G32),3,""))</f>
        <v/>
      </c>
      <c r="AI32" s="75" t="str">
        <f aca="false">IF(AND(AI$5&gt;$F32,AI$5&lt;=$G32),IF($K32="Sí",2,1),IF(AND($D32=0,AI$5=$G32),3,""))</f>
        <v/>
      </c>
      <c r="AJ32" s="75" t="str">
        <f aca="false">IF(AND(AJ$5&gt;$F32,AJ$5&lt;=$G32),IF($K32="Sí",2,1),IF(AND($D32=0,AJ$5=$G32),3,""))</f>
        <v/>
      </c>
      <c r="AK32" s="75" t="str">
        <f aca="false">IF(AND(AK$5&gt;$F32,AK$5&lt;=$G32),IF($K32="Sí",2,1),IF(AND($D32=0,AK$5=$G32),3,""))</f>
        <v/>
      </c>
      <c r="AL32" s="75" t="str">
        <f aca="false">IF(AND(AL$5&gt;$F32,AL$5&lt;=$G32),IF($K32="Sí",2,1),IF(AND($D32=0,AL$5=$G32),3,""))</f>
        <v/>
      </c>
      <c r="AM32" s="75" t="str">
        <f aca="false">IF(AND(AM$5&gt;$F32,AM$5&lt;=$G32),IF($K32="Sí",2,1),IF(AND($D32=0,AM$5=$G32),3,""))</f>
        <v/>
      </c>
      <c r="AN32" s="75" t="str">
        <f aca="false">IF(AND(AN$5&gt;$F32,AN$5&lt;=$G32),IF($K32="Sí",2,1),IF(AND($D32=0,AN$5=$G32),3,""))</f>
        <v/>
      </c>
      <c r="AO32" s="75" t="str">
        <f aca="false">IF(AND(AO$5&gt;$F32,AO$5&lt;=$G32),IF($K32="Sí",2,1),IF(AND($D32=0,AO$5=$G32),3,""))</f>
        <v/>
      </c>
      <c r="AP32" s="75" t="str">
        <f aca="false">IF(AND(AP$5&gt;$F32,AP$5&lt;=$G32),IF($K32="Sí",2,1),IF(AND($D32=0,AP$5=$G32),3,""))</f>
        <v/>
      </c>
      <c r="AQ32" s="75" t="n">
        <f aca="false">IF(AND(AQ$5&gt;$F32,AQ$5&lt;=$G32),IF($K32="Sí",2,1),IF(AND($D32=0,AQ$5=$G32),3,""))</f>
        <v>1</v>
      </c>
      <c r="AR32" s="75" t="n">
        <f aca="false">IF(AND(AR$5&gt;$F32,AR$5&lt;=$G32),IF($K32="Sí",2,1),IF(AND($D32=0,AR$5=$G32),3,""))</f>
        <v>1</v>
      </c>
      <c r="AS32" s="75" t="n">
        <f aca="false">IF(AND(AS$5&gt;$F32,AS$5&lt;=$G32),IF($K32="Sí",2,1),IF(AND($D32=0,AS$5=$G32),3,""))</f>
        <v>1</v>
      </c>
      <c r="AT32" s="75" t="n">
        <f aca="false">IF(AND(AT$5&gt;$F32,AT$5&lt;=$G32),IF($K32="Sí",2,1),IF(AND($D32=0,AT$5=$G32),3,""))</f>
        <v>1</v>
      </c>
      <c r="AU32" s="75" t="n">
        <f aca="false">IF(AND(AU$5&gt;$F32,AU$5&lt;=$G32),IF($K32="Sí",2,1),IF(AND($D32=0,AU$5=$G32),3,""))</f>
        <v>1</v>
      </c>
      <c r="AV32" s="75" t="n">
        <f aca="false">IF(AND(AV$5&gt;$F32,AV$5&lt;=$G32),IF($K32="Sí",2,1),IF(AND($D32=0,AV$5=$G32),3,""))</f>
        <v>1</v>
      </c>
      <c r="AW32" s="75" t="str">
        <f aca="false">IF(AND(AW$5&gt;$F32,AW$5&lt;=$G32),IF($K32="Sí",2,1),IF(AND($D32=0,AW$5=$G32),3,""))</f>
        <v/>
      </c>
      <c r="AX32" s="75" t="str">
        <f aca="false">IF(AND(AX$5&gt;$F32,AX$5&lt;=$G32),IF($K32="Sí",2,1),IF(AND($D32=0,AX$5=$G32),3,""))</f>
        <v/>
      </c>
      <c r="AY32" s="75" t="str">
        <f aca="false">IF(AND(AY$5&gt;$F32,AY$5&lt;=$G32),IF($K32="Sí",2,1),IF(AND($D32=0,AY$5=$G32),3,""))</f>
        <v/>
      </c>
      <c r="AZ32" s="75" t="str">
        <f aca="false">IF(AND(AZ$5&gt;$F32,AZ$5&lt;=$G32),IF($K32="Sí",2,1),IF(AND($D32=0,AZ$5=$G32),3,""))</f>
        <v/>
      </c>
      <c r="BA32" s="75" t="str">
        <f aca="false">IF(AND(BA$5&gt;$F32,BA$5&lt;=$G32),IF($K32="Sí",2,1),IF(AND($D32=0,BA$5=$G32),3,""))</f>
        <v/>
      </c>
      <c r="BB32" s="75" t="str">
        <f aca="false">IF(AND(BB$5&gt;$F32,BB$5&lt;=$G32),IF($K32="Sí",2,1),IF(AND($D32=0,BB$5=$G32),3,""))</f>
        <v/>
      </c>
      <c r="BC32" s="75" t="str">
        <f aca="false">IF(AND(BC$5&gt;$F32,BC$5&lt;=$G32),IF($K32="Sí",2,1),IF(AND($D32=0,BC$5=$G32),3,""))</f>
        <v/>
      </c>
      <c r="BD32" s="75" t="str">
        <f aca="false">IF(AND(BD$5&gt;$F32,BD$5&lt;=$G32),IF($K32="Sí",2,1),IF(AND($D32=0,BD$5=$G32),3,""))</f>
        <v/>
      </c>
      <c r="BE32" s="75" t="str">
        <f aca="false">IF(AND(BE$5&gt;$F32,BE$5&lt;=$G32),IF($K32="Sí",2,1),IF(AND($D32=0,BE$5=$G32),3,""))</f>
        <v/>
      </c>
      <c r="BF32" s="75" t="str">
        <f aca="false">IF(AND(BF$5&gt;$F32,BF$5&lt;=$G32),IF($K32="Sí",2,1),IF(AND($D32=0,BF$5=$G32),3,""))</f>
        <v/>
      </c>
      <c r="BG32" s="75" t="str">
        <f aca="false">IF(AND(BG$5&gt;$F32,BG$5&lt;=$G32),IF($K32="Sí",2,1),IF(AND($D32=0,BG$5=$G32),3,""))</f>
        <v/>
      </c>
      <c r="BH32" s="75" t="str">
        <f aca="false">IF(AND(BH$5&gt;$F32,BH$5&lt;=$G32),IF($K32="Sí",2,1),IF(AND($D32=0,BH$5=$G32),3,""))</f>
        <v/>
      </c>
      <c r="BI32" s="75" t="str">
        <f aca="false">IF(AND(BI$5&gt;$F32,BI$5&lt;=$G32),IF($K32="Sí",2,1),IF(AND($D32=0,BI$5=$G32),3,""))</f>
        <v/>
      </c>
      <c r="BJ32" s="75" t="str">
        <f aca="false">IF(AND(BJ$5&gt;$F32,BJ$5&lt;=$G32),IF($K32="Sí",2,1),IF(AND($D32=0,BJ$5=$G32),3,""))</f>
        <v/>
      </c>
      <c r="BK32" s="75" t="str">
        <f aca="false">IF(AND(BK$5&gt;$F32,BK$5&lt;=$G32),IF($K32="Sí",2,1),IF(AND($D32=0,BK$5=$G32),3,""))</f>
        <v/>
      </c>
      <c r="BL32" s="75" t="str">
        <f aca="false">IF(AND(BL$5&gt;$F32,BL$5&lt;=$G32),IF($K32="Sí",2,1),IF(AND($D32=0,BL$5=$G32),3,""))</f>
        <v/>
      </c>
      <c r="BM32" s="75" t="str">
        <f aca="false">IF(AND(BM$5&gt;$F32,BM$5&lt;=$G32),IF($K32="Sí",2,1),IF(AND($D32=0,BM$5=$G32),3,""))</f>
        <v/>
      </c>
      <c r="BN32" s="75" t="str">
        <f aca="false">IF(AND(BN$5&gt;$F32,BN$5&lt;=$G32),IF($K32="Sí",2,1),IF(AND($D32=0,BN$5=$G32),3,""))</f>
        <v/>
      </c>
      <c r="BO32" s="75" t="str">
        <f aca="false">IF(AND(BO$5&gt;$F32,BO$5&lt;=$G32),IF($K32="Sí",2,1),IF(AND($D32=0,BO$5=$G32),3,""))</f>
        <v/>
      </c>
      <c r="BQ32" s="59" t="n">
        <v>0</v>
      </c>
      <c r="BR32" s="59" t="n">
        <v>0</v>
      </c>
      <c r="BS32" s="59" t="n">
        <v>0</v>
      </c>
      <c r="BT32" s="59" t="n">
        <v>160</v>
      </c>
      <c r="BU32" s="59" t="n">
        <v>0</v>
      </c>
      <c r="BV32" s="59" t="n">
        <v>0</v>
      </c>
      <c r="BW32" s="76" t="n">
        <f aca="false">L32-160</f>
        <v>0</v>
      </c>
      <c r="BX32" s="77" t="n">
        <f aca="false">IF($D32=0,0,BQ32/$D32)</f>
        <v>0</v>
      </c>
      <c r="BY32" s="77" t="n">
        <f aca="false">IF($D32=0,0,BR32/$D32)</f>
        <v>0</v>
      </c>
      <c r="BZ32" s="77" t="n">
        <f aca="false">IF($D32=0,0,BS32/$D32)</f>
        <v>0</v>
      </c>
      <c r="CA32" s="77" t="n">
        <f aca="false">IF($D32=0,0,BT32/$D32)</f>
        <v>26.6666666666667</v>
      </c>
      <c r="CB32" s="77" t="n">
        <f aca="false">IF($D32=0,0,BU32/$D32)</f>
        <v>0</v>
      </c>
      <c r="CC32" s="77" t="n">
        <f aca="false">IF($D32=0,0,BV32/$D32)</f>
        <v>0</v>
      </c>
    </row>
    <row r="33" customFormat="false" ht="15" hidden="false" customHeight="true" outlineLevel="0" collapsed="false">
      <c r="A33" s="7" t="s">
        <v>1086</v>
      </c>
      <c r="B33" s="7" t="s">
        <v>1435</v>
      </c>
      <c r="C33" s="7" t="s">
        <v>1385</v>
      </c>
      <c r="D33" s="30" t="n">
        <v>2</v>
      </c>
      <c r="E33" s="7" t="s">
        <v>1436</v>
      </c>
      <c r="F33" s="32" t="n">
        <f aca="false">MAX(G23,G31,G32)+Q33</f>
        <v>33</v>
      </c>
      <c r="G33" s="32" t="n">
        <f aca="false">F33+D33</f>
        <v>35</v>
      </c>
      <c r="H33" s="32" t="n">
        <f aca="false">I33-D33</f>
        <v>33</v>
      </c>
      <c r="I33" s="32" t="n">
        <f aca="false">MIN(H37)</f>
        <v>35</v>
      </c>
      <c r="J33" s="32" t="n">
        <f aca="false">H33-F33</f>
        <v>0</v>
      </c>
      <c r="K33" s="71" t="str">
        <f aca="false">IF(J33=0,"Sí","")</f>
        <v>Sí</v>
      </c>
      <c r="L33" s="72" t="n">
        <f aca="false">SUM(BQ33:BV33)</f>
        <v>180</v>
      </c>
      <c r="M33" s="33" t="n">
        <f aca="false">SUMIFS(Cotizaciones!$J$5:$J$70,Cotizaciones!$C$5:$C$70,A33)</f>
        <v>392000000</v>
      </c>
      <c r="N33" s="32" t="n">
        <f aca="false">(L33*Supuestos!$B$47+M33*(1+Supuestos!$B$50))*(1+Supuestos!$B$51)/(1-Supuestos!$B$52)</f>
        <v>496228744.939271</v>
      </c>
      <c r="O33" s="73" t="n">
        <f aca="false">$C$3+F33*7</f>
        <v>46629</v>
      </c>
      <c r="P33" s="73" t="n">
        <f aca="false">$C$3+G33*7-IF(D33&gt;0,1,0)</f>
        <v>46642</v>
      </c>
      <c r="Q33" s="74" t="n">
        <v>0</v>
      </c>
      <c r="R33" s="75" t="str">
        <f aca="false">IF(AND(R$5&gt;$F33,R$5&lt;=$G33),IF($K33="Sí",2,1),IF(AND($D33=0,R$5=$G33),3,""))</f>
        <v/>
      </c>
      <c r="S33" s="75" t="str">
        <f aca="false">IF(AND(S$5&gt;$F33,S$5&lt;=$G33),IF($K33="Sí",2,1),IF(AND($D33=0,S$5=$G33),3,""))</f>
        <v/>
      </c>
      <c r="T33" s="75" t="str">
        <f aca="false">IF(AND(T$5&gt;$F33,T$5&lt;=$G33),IF($K33="Sí",2,1),IF(AND($D33=0,T$5=$G33),3,""))</f>
        <v/>
      </c>
      <c r="U33" s="75" t="str">
        <f aca="false">IF(AND(U$5&gt;$F33,U$5&lt;=$G33),IF($K33="Sí",2,1),IF(AND($D33=0,U$5=$G33),3,""))</f>
        <v/>
      </c>
      <c r="V33" s="75" t="str">
        <f aca="false">IF(AND(V$5&gt;$F33,V$5&lt;=$G33),IF($K33="Sí",2,1),IF(AND($D33=0,V$5=$G33),3,""))</f>
        <v/>
      </c>
      <c r="W33" s="75" t="str">
        <f aca="false">IF(AND(W$5&gt;$F33,W$5&lt;=$G33),IF($K33="Sí",2,1),IF(AND($D33=0,W$5=$G33),3,""))</f>
        <v/>
      </c>
      <c r="X33" s="75" t="str">
        <f aca="false">IF(AND(X$5&gt;$F33,X$5&lt;=$G33),IF($K33="Sí",2,1),IF(AND($D33=0,X$5=$G33),3,""))</f>
        <v/>
      </c>
      <c r="Y33" s="75" t="str">
        <f aca="false">IF(AND(Y$5&gt;$F33,Y$5&lt;=$G33),IF($K33="Sí",2,1),IF(AND($D33=0,Y$5=$G33),3,""))</f>
        <v/>
      </c>
      <c r="Z33" s="75" t="str">
        <f aca="false">IF(AND(Z$5&gt;$F33,Z$5&lt;=$G33),IF($K33="Sí",2,1),IF(AND($D33=0,Z$5=$G33),3,""))</f>
        <v/>
      </c>
      <c r="AA33" s="75" t="str">
        <f aca="false">IF(AND(AA$5&gt;$F33,AA$5&lt;=$G33),IF($K33="Sí",2,1),IF(AND($D33=0,AA$5=$G33),3,""))</f>
        <v/>
      </c>
      <c r="AB33" s="75" t="str">
        <f aca="false">IF(AND(AB$5&gt;$F33,AB$5&lt;=$G33),IF($K33="Sí",2,1),IF(AND($D33=0,AB$5=$G33),3,""))</f>
        <v/>
      </c>
      <c r="AC33" s="75" t="str">
        <f aca="false">IF(AND(AC$5&gt;$F33,AC$5&lt;=$G33),IF($K33="Sí",2,1),IF(AND($D33=0,AC$5=$G33),3,""))</f>
        <v/>
      </c>
      <c r="AD33" s="75" t="str">
        <f aca="false">IF(AND(AD$5&gt;$F33,AD$5&lt;=$G33),IF($K33="Sí",2,1),IF(AND($D33=0,AD$5=$G33),3,""))</f>
        <v/>
      </c>
      <c r="AE33" s="75" t="str">
        <f aca="false">IF(AND(AE$5&gt;$F33,AE$5&lt;=$G33),IF($K33="Sí",2,1),IF(AND($D33=0,AE$5=$G33),3,""))</f>
        <v/>
      </c>
      <c r="AF33" s="75" t="str">
        <f aca="false">IF(AND(AF$5&gt;$F33,AF$5&lt;=$G33),IF($K33="Sí",2,1),IF(AND($D33=0,AF$5=$G33),3,""))</f>
        <v/>
      </c>
      <c r="AG33" s="75" t="str">
        <f aca="false">IF(AND(AG$5&gt;$F33,AG$5&lt;=$G33),IF($K33="Sí",2,1),IF(AND($D33=0,AG$5=$G33),3,""))</f>
        <v/>
      </c>
      <c r="AH33" s="75" t="str">
        <f aca="false">IF(AND(AH$5&gt;$F33,AH$5&lt;=$G33),IF($K33="Sí",2,1),IF(AND($D33=0,AH$5=$G33),3,""))</f>
        <v/>
      </c>
      <c r="AI33" s="75" t="str">
        <f aca="false">IF(AND(AI$5&gt;$F33,AI$5&lt;=$G33),IF($K33="Sí",2,1),IF(AND($D33=0,AI$5=$G33),3,""))</f>
        <v/>
      </c>
      <c r="AJ33" s="75" t="str">
        <f aca="false">IF(AND(AJ$5&gt;$F33,AJ$5&lt;=$G33),IF($K33="Sí",2,1),IF(AND($D33=0,AJ$5=$G33),3,""))</f>
        <v/>
      </c>
      <c r="AK33" s="75" t="str">
        <f aca="false">IF(AND(AK$5&gt;$F33,AK$5&lt;=$G33),IF($K33="Sí",2,1),IF(AND($D33=0,AK$5=$G33),3,""))</f>
        <v/>
      </c>
      <c r="AL33" s="75" t="str">
        <f aca="false">IF(AND(AL$5&gt;$F33,AL$5&lt;=$G33),IF($K33="Sí",2,1),IF(AND($D33=0,AL$5=$G33),3,""))</f>
        <v/>
      </c>
      <c r="AM33" s="75" t="str">
        <f aca="false">IF(AND(AM$5&gt;$F33,AM$5&lt;=$G33),IF($K33="Sí",2,1),IF(AND($D33=0,AM$5=$G33),3,""))</f>
        <v/>
      </c>
      <c r="AN33" s="75" t="str">
        <f aca="false">IF(AND(AN$5&gt;$F33,AN$5&lt;=$G33),IF($K33="Sí",2,1),IF(AND($D33=0,AN$5=$G33),3,""))</f>
        <v/>
      </c>
      <c r="AO33" s="75" t="str">
        <f aca="false">IF(AND(AO$5&gt;$F33,AO$5&lt;=$G33),IF($K33="Sí",2,1),IF(AND($D33=0,AO$5=$G33),3,""))</f>
        <v/>
      </c>
      <c r="AP33" s="75" t="str">
        <f aca="false">IF(AND(AP$5&gt;$F33,AP$5&lt;=$G33),IF($K33="Sí",2,1),IF(AND($D33=0,AP$5=$G33),3,""))</f>
        <v/>
      </c>
      <c r="AQ33" s="75" t="str">
        <f aca="false">IF(AND(AQ$5&gt;$F33,AQ$5&lt;=$G33),IF($K33="Sí",2,1),IF(AND($D33=0,AQ$5=$G33),3,""))</f>
        <v/>
      </c>
      <c r="AR33" s="75" t="str">
        <f aca="false">IF(AND(AR$5&gt;$F33,AR$5&lt;=$G33),IF($K33="Sí",2,1),IF(AND($D33=0,AR$5=$G33),3,""))</f>
        <v/>
      </c>
      <c r="AS33" s="75" t="str">
        <f aca="false">IF(AND(AS$5&gt;$F33,AS$5&lt;=$G33),IF($K33="Sí",2,1),IF(AND($D33=0,AS$5=$G33),3,""))</f>
        <v/>
      </c>
      <c r="AT33" s="75" t="str">
        <f aca="false">IF(AND(AT$5&gt;$F33,AT$5&lt;=$G33),IF($K33="Sí",2,1),IF(AND($D33=0,AT$5=$G33),3,""))</f>
        <v/>
      </c>
      <c r="AU33" s="75" t="str">
        <f aca="false">IF(AND(AU$5&gt;$F33,AU$5&lt;=$G33),IF($K33="Sí",2,1),IF(AND($D33=0,AU$5=$G33),3,""))</f>
        <v/>
      </c>
      <c r="AV33" s="75" t="str">
        <f aca="false">IF(AND(AV$5&gt;$F33,AV$5&lt;=$G33),IF($K33="Sí",2,1),IF(AND($D33=0,AV$5=$G33),3,""))</f>
        <v/>
      </c>
      <c r="AW33" s="75" t="str">
        <f aca="false">IF(AND(AW$5&gt;$F33,AW$5&lt;=$G33),IF($K33="Sí",2,1),IF(AND($D33=0,AW$5=$G33),3,""))</f>
        <v/>
      </c>
      <c r="AX33" s="75" t="str">
        <f aca="false">IF(AND(AX$5&gt;$F33,AX$5&lt;=$G33),IF($K33="Sí",2,1),IF(AND($D33=0,AX$5=$G33),3,""))</f>
        <v/>
      </c>
      <c r="AY33" s="75" t="n">
        <f aca="false">IF(AND(AY$5&gt;$F33,AY$5&lt;=$G33),IF($K33="Sí",2,1),IF(AND($D33=0,AY$5=$G33),3,""))</f>
        <v>2</v>
      </c>
      <c r="AZ33" s="75" t="n">
        <f aca="false">IF(AND(AZ$5&gt;$F33,AZ$5&lt;=$G33),IF($K33="Sí",2,1),IF(AND($D33=0,AZ$5=$G33),3,""))</f>
        <v>2</v>
      </c>
      <c r="BA33" s="75" t="str">
        <f aca="false">IF(AND(BA$5&gt;$F33,BA$5&lt;=$G33),IF($K33="Sí",2,1),IF(AND($D33=0,BA$5=$G33),3,""))</f>
        <v/>
      </c>
      <c r="BB33" s="75" t="str">
        <f aca="false">IF(AND(BB$5&gt;$F33,BB$5&lt;=$G33),IF($K33="Sí",2,1),IF(AND($D33=0,BB$5=$G33),3,""))</f>
        <v/>
      </c>
      <c r="BC33" s="75" t="str">
        <f aca="false">IF(AND(BC$5&gt;$F33,BC$5&lt;=$G33),IF($K33="Sí",2,1),IF(AND($D33=0,BC$5=$G33),3,""))</f>
        <v/>
      </c>
      <c r="BD33" s="75" t="str">
        <f aca="false">IF(AND(BD$5&gt;$F33,BD$5&lt;=$G33),IF($K33="Sí",2,1),IF(AND($D33=0,BD$5=$G33),3,""))</f>
        <v/>
      </c>
      <c r="BE33" s="75" t="str">
        <f aca="false">IF(AND(BE$5&gt;$F33,BE$5&lt;=$G33),IF($K33="Sí",2,1),IF(AND($D33=0,BE$5=$G33),3,""))</f>
        <v/>
      </c>
      <c r="BF33" s="75" t="str">
        <f aca="false">IF(AND(BF$5&gt;$F33,BF$5&lt;=$G33),IF($K33="Sí",2,1),IF(AND($D33=0,BF$5=$G33),3,""))</f>
        <v/>
      </c>
      <c r="BG33" s="75" t="str">
        <f aca="false">IF(AND(BG$5&gt;$F33,BG$5&lt;=$G33),IF($K33="Sí",2,1),IF(AND($D33=0,BG$5=$G33),3,""))</f>
        <v/>
      </c>
      <c r="BH33" s="75" t="str">
        <f aca="false">IF(AND(BH$5&gt;$F33,BH$5&lt;=$G33),IF($K33="Sí",2,1),IF(AND($D33=0,BH$5=$G33),3,""))</f>
        <v/>
      </c>
      <c r="BI33" s="75" t="str">
        <f aca="false">IF(AND(BI$5&gt;$F33,BI$5&lt;=$G33),IF($K33="Sí",2,1),IF(AND($D33=0,BI$5=$G33),3,""))</f>
        <v/>
      </c>
      <c r="BJ33" s="75" t="str">
        <f aca="false">IF(AND(BJ$5&gt;$F33,BJ$5&lt;=$G33),IF($K33="Sí",2,1),IF(AND($D33=0,BJ$5=$G33),3,""))</f>
        <v/>
      </c>
      <c r="BK33" s="75" t="str">
        <f aca="false">IF(AND(BK$5&gt;$F33,BK$5&lt;=$G33),IF($K33="Sí",2,1),IF(AND($D33=0,BK$5=$G33),3,""))</f>
        <v/>
      </c>
      <c r="BL33" s="75" t="str">
        <f aca="false">IF(AND(BL$5&gt;$F33,BL$5&lt;=$G33),IF($K33="Sí",2,1),IF(AND($D33=0,BL$5=$G33),3,""))</f>
        <v/>
      </c>
      <c r="BM33" s="75" t="str">
        <f aca="false">IF(AND(BM$5&gt;$F33,BM$5&lt;=$G33),IF($K33="Sí",2,1),IF(AND($D33=0,BM$5=$G33),3,""))</f>
        <v/>
      </c>
      <c r="BN33" s="75" t="str">
        <f aca="false">IF(AND(BN$5&gt;$F33,BN$5&lt;=$G33),IF($K33="Sí",2,1),IF(AND($D33=0,BN$5=$G33),3,""))</f>
        <v/>
      </c>
      <c r="BO33" s="75" t="str">
        <f aca="false">IF(AND(BO$5&gt;$F33,BO$5&lt;=$G33),IF($K33="Sí",2,1),IF(AND($D33=0,BO$5=$G33),3,""))</f>
        <v/>
      </c>
      <c r="BQ33" s="59" t="n">
        <v>0</v>
      </c>
      <c r="BR33" s="59" t="n">
        <v>0</v>
      </c>
      <c r="BS33" s="59" t="n">
        <v>93</v>
      </c>
      <c r="BT33" s="59" t="n">
        <v>87</v>
      </c>
      <c r="BU33" s="59" t="n">
        <v>0</v>
      </c>
      <c r="BV33" s="59" t="n">
        <v>0</v>
      </c>
      <c r="BW33" s="76" t="n">
        <f aca="false">L33-180</f>
        <v>0</v>
      </c>
      <c r="BX33" s="77" t="n">
        <f aca="false">IF($D33=0,0,BQ33/$D33)</f>
        <v>0</v>
      </c>
      <c r="BY33" s="77" t="n">
        <f aca="false">IF($D33=0,0,BR33/$D33)</f>
        <v>0</v>
      </c>
      <c r="BZ33" s="77" t="n">
        <f aca="false">IF($D33=0,0,BS33/$D33)</f>
        <v>46.5</v>
      </c>
      <c r="CA33" s="77" t="n">
        <f aca="false">IF($D33=0,0,BT33/$D33)</f>
        <v>43.5</v>
      </c>
      <c r="CB33" s="77" t="n">
        <f aca="false">IF($D33=0,0,BU33/$D33)</f>
        <v>0</v>
      </c>
      <c r="CC33" s="77" t="n">
        <f aca="false">IF($D33=0,0,BV33/$D33)</f>
        <v>0</v>
      </c>
    </row>
    <row r="34" customFormat="false" ht="15" hidden="false" customHeight="true" outlineLevel="0" collapsed="false">
      <c r="A34" s="7" t="s">
        <v>1090</v>
      </c>
      <c r="B34" s="7" t="s">
        <v>1437</v>
      </c>
      <c r="C34" s="7" t="s">
        <v>1397</v>
      </c>
      <c r="D34" s="30" t="n">
        <v>2</v>
      </c>
      <c r="E34" s="7" t="s">
        <v>1438</v>
      </c>
      <c r="F34" s="32" t="n">
        <f aca="false">MAX(G26,G31,G32)+Q34</f>
        <v>33</v>
      </c>
      <c r="G34" s="32" t="n">
        <f aca="false">F34+D34</f>
        <v>35</v>
      </c>
      <c r="H34" s="32" t="n">
        <f aca="false">I34-D34</f>
        <v>33</v>
      </c>
      <c r="I34" s="32" t="n">
        <f aca="false">MIN(H37)</f>
        <v>35</v>
      </c>
      <c r="J34" s="32" t="n">
        <f aca="false">H34-F34</f>
        <v>0</v>
      </c>
      <c r="K34" s="71" t="str">
        <f aca="false">IF(J34=0,"Sí","")</f>
        <v>Sí</v>
      </c>
      <c r="L34" s="72" t="n">
        <f aca="false">SUM(BQ34:BV34)</f>
        <v>180</v>
      </c>
      <c r="M34" s="33" t="n">
        <f aca="false">SUMIFS(Cotizaciones!$J$5:$J$70,Cotizaciones!$C$5:$C$70,A34)</f>
        <v>450000000</v>
      </c>
      <c r="N34" s="32" t="n">
        <f aca="false">(L34*Supuestos!$B$47+M34*(1+Supuestos!$B$50))*(1+Supuestos!$B$51)/(1-Supuestos!$B$52)</f>
        <v>565323886.639676</v>
      </c>
      <c r="O34" s="73" t="n">
        <f aca="false">$C$3+F34*7</f>
        <v>46629</v>
      </c>
      <c r="P34" s="73" t="n">
        <f aca="false">$C$3+G34*7-IF(D34&gt;0,1,0)</f>
        <v>46642</v>
      </c>
      <c r="Q34" s="74" t="n">
        <v>0</v>
      </c>
      <c r="R34" s="75" t="str">
        <f aca="false">IF(AND(R$5&gt;$F34,R$5&lt;=$G34),IF($K34="Sí",2,1),IF(AND($D34=0,R$5=$G34),3,""))</f>
        <v/>
      </c>
      <c r="S34" s="75" t="str">
        <f aca="false">IF(AND(S$5&gt;$F34,S$5&lt;=$G34),IF($K34="Sí",2,1),IF(AND($D34=0,S$5=$G34),3,""))</f>
        <v/>
      </c>
      <c r="T34" s="75" t="str">
        <f aca="false">IF(AND(T$5&gt;$F34,T$5&lt;=$G34),IF($K34="Sí",2,1),IF(AND($D34=0,T$5=$G34),3,""))</f>
        <v/>
      </c>
      <c r="U34" s="75" t="str">
        <f aca="false">IF(AND(U$5&gt;$F34,U$5&lt;=$G34),IF($K34="Sí",2,1),IF(AND($D34=0,U$5=$G34),3,""))</f>
        <v/>
      </c>
      <c r="V34" s="75" t="str">
        <f aca="false">IF(AND(V$5&gt;$F34,V$5&lt;=$G34),IF($K34="Sí",2,1),IF(AND($D34=0,V$5=$G34),3,""))</f>
        <v/>
      </c>
      <c r="W34" s="75" t="str">
        <f aca="false">IF(AND(W$5&gt;$F34,W$5&lt;=$G34),IF($K34="Sí",2,1),IF(AND($D34=0,W$5=$G34),3,""))</f>
        <v/>
      </c>
      <c r="X34" s="75" t="str">
        <f aca="false">IF(AND(X$5&gt;$F34,X$5&lt;=$G34),IF($K34="Sí",2,1),IF(AND($D34=0,X$5=$G34),3,""))</f>
        <v/>
      </c>
      <c r="Y34" s="75" t="str">
        <f aca="false">IF(AND(Y$5&gt;$F34,Y$5&lt;=$G34),IF($K34="Sí",2,1),IF(AND($D34=0,Y$5=$G34),3,""))</f>
        <v/>
      </c>
      <c r="Z34" s="75" t="str">
        <f aca="false">IF(AND(Z$5&gt;$F34,Z$5&lt;=$G34),IF($K34="Sí",2,1),IF(AND($D34=0,Z$5=$G34),3,""))</f>
        <v/>
      </c>
      <c r="AA34" s="75" t="str">
        <f aca="false">IF(AND(AA$5&gt;$F34,AA$5&lt;=$G34),IF($K34="Sí",2,1),IF(AND($D34=0,AA$5=$G34),3,""))</f>
        <v/>
      </c>
      <c r="AB34" s="75" t="str">
        <f aca="false">IF(AND(AB$5&gt;$F34,AB$5&lt;=$G34),IF($K34="Sí",2,1),IF(AND($D34=0,AB$5=$G34),3,""))</f>
        <v/>
      </c>
      <c r="AC34" s="75" t="str">
        <f aca="false">IF(AND(AC$5&gt;$F34,AC$5&lt;=$G34),IF($K34="Sí",2,1),IF(AND($D34=0,AC$5=$G34),3,""))</f>
        <v/>
      </c>
      <c r="AD34" s="75" t="str">
        <f aca="false">IF(AND(AD$5&gt;$F34,AD$5&lt;=$G34),IF($K34="Sí",2,1),IF(AND($D34=0,AD$5=$G34),3,""))</f>
        <v/>
      </c>
      <c r="AE34" s="75" t="str">
        <f aca="false">IF(AND(AE$5&gt;$F34,AE$5&lt;=$G34),IF($K34="Sí",2,1),IF(AND($D34=0,AE$5=$G34),3,""))</f>
        <v/>
      </c>
      <c r="AF34" s="75" t="str">
        <f aca="false">IF(AND(AF$5&gt;$F34,AF$5&lt;=$G34),IF($K34="Sí",2,1),IF(AND($D34=0,AF$5=$G34),3,""))</f>
        <v/>
      </c>
      <c r="AG34" s="75" t="str">
        <f aca="false">IF(AND(AG$5&gt;$F34,AG$5&lt;=$G34),IF($K34="Sí",2,1),IF(AND($D34=0,AG$5=$G34),3,""))</f>
        <v/>
      </c>
      <c r="AH34" s="75" t="str">
        <f aca="false">IF(AND(AH$5&gt;$F34,AH$5&lt;=$G34),IF($K34="Sí",2,1),IF(AND($D34=0,AH$5=$G34),3,""))</f>
        <v/>
      </c>
      <c r="AI34" s="75" t="str">
        <f aca="false">IF(AND(AI$5&gt;$F34,AI$5&lt;=$G34),IF($K34="Sí",2,1),IF(AND($D34=0,AI$5=$G34),3,""))</f>
        <v/>
      </c>
      <c r="AJ34" s="75" t="str">
        <f aca="false">IF(AND(AJ$5&gt;$F34,AJ$5&lt;=$G34),IF($K34="Sí",2,1),IF(AND($D34=0,AJ$5=$G34),3,""))</f>
        <v/>
      </c>
      <c r="AK34" s="75" t="str">
        <f aca="false">IF(AND(AK$5&gt;$F34,AK$5&lt;=$G34),IF($K34="Sí",2,1),IF(AND($D34=0,AK$5=$G34),3,""))</f>
        <v/>
      </c>
      <c r="AL34" s="75" t="str">
        <f aca="false">IF(AND(AL$5&gt;$F34,AL$5&lt;=$G34),IF($K34="Sí",2,1),IF(AND($D34=0,AL$5=$G34),3,""))</f>
        <v/>
      </c>
      <c r="AM34" s="75" t="str">
        <f aca="false">IF(AND(AM$5&gt;$F34,AM$5&lt;=$G34),IF($K34="Sí",2,1),IF(AND($D34=0,AM$5=$G34),3,""))</f>
        <v/>
      </c>
      <c r="AN34" s="75" t="str">
        <f aca="false">IF(AND(AN$5&gt;$F34,AN$5&lt;=$G34),IF($K34="Sí",2,1),IF(AND($D34=0,AN$5=$G34),3,""))</f>
        <v/>
      </c>
      <c r="AO34" s="75" t="str">
        <f aca="false">IF(AND(AO$5&gt;$F34,AO$5&lt;=$G34),IF($K34="Sí",2,1),IF(AND($D34=0,AO$5=$G34),3,""))</f>
        <v/>
      </c>
      <c r="AP34" s="75" t="str">
        <f aca="false">IF(AND(AP$5&gt;$F34,AP$5&lt;=$G34),IF($K34="Sí",2,1),IF(AND($D34=0,AP$5=$G34),3,""))</f>
        <v/>
      </c>
      <c r="AQ34" s="75" t="str">
        <f aca="false">IF(AND(AQ$5&gt;$F34,AQ$5&lt;=$G34),IF($K34="Sí",2,1),IF(AND($D34=0,AQ$5=$G34),3,""))</f>
        <v/>
      </c>
      <c r="AR34" s="75" t="str">
        <f aca="false">IF(AND(AR$5&gt;$F34,AR$5&lt;=$G34),IF($K34="Sí",2,1),IF(AND($D34=0,AR$5=$G34),3,""))</f>
        <v/>
      </c>
      <c r="AS34" s="75" t="str">
        <f aca="false">IF(AND(AS$5&gt;$F34,AS$5&lt;=$G34),IF($K34="Sí",2,1),IF(AND($D34=0,AS$5=$G34),3,""))</f>
        <v/>
      </c>
      <c r="AT34" s="75" t="str">
        <f aca="false">IF(AND(AT$5&gt;$F34,AT$5&lt;=$G34),IF($K34="Sí",2,1),IF(AND($D34=0,AT$5=$G34),3,""))</f>
        <v/>
      </c>
      <c r="AU34" s="75" t="str">
        <f aca="false">IF(AND(AU$5&gt;$F34,AU$5&lt;=$G34),IF($K34="Sí",2,1),IF(AND($D34=0,AU$5=$G34),3,""))</f>
        <v/>
      </c>
      <c r="AV34" s="75" t="str">
        <f aca="false">IF(AND(AV$5&gt;$F34,AV$5&lt;=$G34),IF($K34="Sí",2,1),IF(AND($D34=0,AV$5=$G34),3,""))</f>
        <v/>
      </c>
      <c r="AW34" s="75" t="str">
        <f aca="false">IF(AND(AW$5&gt;$F34,AW$5&lt;=$G34),IF($K34="Sí",2,1),IF(AND($D34=0,AW$5=$G34),3,""))</f>
        <v/>
      </c>
      <c r="AX34" s="75" t="str">
        <f aca="false">IF(AND(AX$5&gt;$F34,AX$5&lt;=$G34),IF($K34="Sí",2,1),IF(AND($D34=0,AX$5=$G34),3,""))</f>
        <v/>
      </c>
      <c r="AY34" s="75" t="n">
        <f aca="false">IF(AND(AY$5&gt;$F34,AY$5&lt;=$G34),IF($K34="Sí",2,1),IF(AND($D34=0,AY$5=$G34),3,""))</f>
        <v>2</v>
      </c>
      <c r="AZ34" s="75" t="n">
        <f aca="false">IF(AND(AZ$5&gt;$F34,AZ$5&lt;=$G34),IF($K34="Sí",2,1),IF(AND($D34=0,AZ$5=$G34),3,""))</f>
        <v>2</v>
      </c>
      <c r="BA34" s="75" t="str">
        <f aca="false">IF(AND(BA$5&gt;$F34,BA$5&lt;=$G34),IF($K34="Sí",2,1),IF(AND($D34=0,BA$5=$G34),3,""))</f>
        <v/>
      </c>
      <c r="BB34" s="75" t="str">
        <f aca="false">IF(AND(BB$5&gt;$F34,BB$5&lt;=$G34),IF($K34="Sí",2,1),IF(AND($D34=0,BB$5=$G34),3,""))</f>
        <v/>
      </c>
      <c r="BC34" s="75" t="str">
        <f aca="false">IF(AND(BC$5&gt;$F34,BC$5&lt;=$G34),IF($K34="Sí",2,1),IF(AND($D34=0,BC$5=$G34),3,""))</f>
        <v/>
      </c>
      <c r="BD34" s="75" t="str">
        <f aca="false">IF(AND(BD$5&gt;$F34,BD$5&lt;=$G34),IF($K34="Sí",2,1),IF(AND($D34=0,BD$5=$G34),3,""))</f>
        <v/>
      </c>
      <c r="BE34" s="75" t="str">
        <f aca="false">IF(AND(BE$5&gt;$F34,BE$5&lt;=$G34),IF($K34="Sí",2,1),IF(AND($D34=0,BE$5=$G34),3,""))</f>
        <v/>
      </c>
      <c r="BF34" s="75" t="str">
        <f aca="false">IF(AND(BF$5&gt;$F34,BF$5&lt;=$G34),IF($K34="Sí",2,1),IF(AND($D34=0,BF$5=$G34),3,""))</f>
        <v/>
      </c>
      <c r="BG34" s="75" t="str">
        <f aca="false">IF(AND(BG$5&gt;$F34,BG$5&lt;=$G34),IF($K34="Sí",2,1),IF(AND($D34=0,BG$5=$G34),3,""))</f>
        <v/>
      </c>
      <c r="BH34" s="75" t="str">
        <f aca="false">IF(AND(BH$5&gt;$F34,BH$5&lt;=$G34),IF($K34="Sí",2,1),IF(AND($D34=0,BH$5=$G34),3,""))</f>
        <v/>
      </c>
      <c r="BI34" s="75" t="str">
        <f aca="false">IF(AND(BI$5&gt;$F34,BI$5&lt;=$G34),IF($K34="Sí",2,1),IF(AND($D34=0,BI$5=$G34),3,""))</f>
        <v/>
      </c>
      <c r="BJ34" s="75" t="str">
        <f aca="false">IF(AND(BJ$5&gt;$F34,BJ$5&lt;=$G34),IF($K34="Sí",2,1),IF(AND($D34=0,BJ$5=$G34),3,""))</f>
        <v/>
      </c>
      <c r="BK34" s="75" t="str">
        <f aca="false">IF(AND(BK$5&gt;$F34,BK$5&lt;=$G34),IF($K34="Sí",2,1),IF(AND($D34=0,BK$5=$G34),3,""))</f>
        <v/>
      </c>
      <c r="BL34" s="75" t="str">
        <f aca="false">IF(AND(BL$5&gt;$F34,BL$5&lt;=$G34),IF($K34="Sí",2,1),IF(AND($D34=0,BL$5=$G34),3,""))</f>
        <v/>
      </c>
      <c r="BM34" s="75" t="str">
        <f aca="false">IF(AND(BM$5&gt;$F34,BM$5&lt;=$G34),IF($K34="Sí",2,1),IF(AND($D34=0,BM$5=$G34),3,""))</f>
        <v/>
      </c>
      <c r="BN34" s="75" t="str">
        <f aca="false">IF(AND(BN$5&gt;$F34,BN$5&lt;=$G34),IF($K34="Sí",2,1),IF(AND($D34=0,BN$5=$G34),3,""))</f>
        <v/>
      </c>
      <c r="BO34" s="75" t="str">
        <f aca="false">IF(AND(BO$5&gt;$F34,BO$5&lt;=$G34),IF($K34="Sí",2,1),IF(AND($D34=0,BO$5=$G34),3,""))</f>
        <v/>
      </c>
      <c r="BQ34" s="59" t="n">
        <v>0</v>
      </c>
      <c r="BR34" s="59" t="n">
        <v>87</v>
      </c>
      <c r="BS34" s="59" t="n">
        <v>0</v>
      </c>
      <c r="BT34" s="59" t="n">
        <v>0</v>
      </c>
      <c r="BU34" s="59" t="n">
        <v>0</v>
      </c>
      <c r="BV34" s="59" t="n">
        <v>93</v>
      </c>
      <c r="BW34" s="76" t="n">
        <f aca="false">L34-180</f>
        <v>0</v>
      </c>
      <c r="BX34" s="77" t="n">
        <f aca="false">IF($D34=0,0,BQ34/$D34)</f>
        <v>0</v>
      </c>
      <c r="BY34" s="77" t="n">
        <f aca="false">IF($D34=0,0,BR34/$D34)</f>
        <v>43.5</v>
      </c>
      <c r="BZ34" s="77" t="n">
        <f aca="false">IF($D34=0,0,BS34/$D34)</f>
        <v>0</v>
      </c>
      <c r="CA34" s="77" t="n">
        <f aca="false">IF($D34=0,0,BT34/$D34)</f>
        <v>0</v>
      </c>
      <c r="CB34" s="77" t="n">
        <f aca="false">IF($D34=0,0,BU34/$D34)</f>
        <v>0</v>
      </c>
      <c r="CC34" s="77" t="n">
        <f aca="false">IF($D34=0,0,BV34/$D34)</f>
        <v>46.5</v>
      </c>
    </row>
    <row r="35" customFormat="false" ht="15" hidden="false" customHeight="true" outlineLevel="0" collapsed="false">
      <c r="A35" s="7" t="s">
        <v>1095</v>
      </c>
      <c r="B35" s="7" t="s">
        <v>1439</v>
      </c>
      <c r="C35" s="7" t="s">
        <v>1397</v>
      </c>
      <c r="D35" s="30" t="n">
        <v>2</v>
      </c>
      <c r="E35" s="7" t="s">
        <v>1440</v>
      </c>
      <c r="F35" s="32" t="n">
        <f aca="false">MAX(G30,G32)+Q35</f>
        <v>33</v>
      </c>
      <c r="G35" s="32" t="n">
        <f aca="false">F35+D35</f>
        <v>35</v>
      </c>
      <c r="H35" s="32" t="n">
        <f aca="false">I35-D35</f>
        <v>33</v>
      </c>
      <c r="I35" s="32" t="n">
        <f aca="false">MIN(H37)</f>
        <v>35</v>
      </c>
      <c r="J35" s="32" t="n">
        <f aca="false">H35-F35</f>
        <v>0</v>
      </c>
      <c r="K35" s="71" t="str">
        <f aca="false">IF(J35=0,"Sí","")</f>
        <v>Sí</v>
      </c>
      <c r="L35" s="72" t="n">
        <f aca="false">SUM(BQ35:BV35)</f>
        <v>80</v>
      </c>
      <c r="M35" s="33" t="n">
        <f aca="false">SUMIFS(Cotizaciones!$J$5:$J$70,Cotizaciones!$C$5:$C$70,A35)</f>
        <v>18000000</v>
      </c>
      <c r="N35" s="32" t="n">
        <f aca="false">(L35*Supuestos!$B$47+M35*(1+Supuestos!$B$50))*(1+Supuestos!$B$51)/(1-Supuestos!$B$52)</f>
        <v>34439271.2550607</v>
      </c>
      <c r="O35" s="73" t="n">
        <f aca="false">$C$3+F35*7</f>
        <v>46629</v>
      </c>
      <c r="P35" s="73" t="n">
        <f aca="false">$C$3+G35*7-IF(D35&gt;0,1,0)</f>
        <v>46642</v>
      </c>
      <c r="Q35" s="74" t="n">
        <v>0</v>
      </c>
      <c r="R35" s="75" t="str">
        <f aca="false">IF(AND(R$5&gt;$F35,R$5&lt;=$G35),IF($K35="Sí",2,1),IF(AND($D35=0,R$5=$G35),3,""))</f>
        <v/>
      </c>
      <c r="S35" s="75" t="str">
        <f aca="false">IF(AND(S$5&gt;$F35,S$5&lt;=$G35),IF($K35="Sí",2,1),IF(AND($D35=0,S$5=$G35),3,""))</f>
        <v/>
      </c>
      <c r="T35" s="75" t="str">
        <f aca="false">IF(AND(T$5&gt;$F35,T$5&lt;=$G35),IF($K35="Sí",2,1),IF(AND($D35=0,T$5=$G35),3,""))</f>
        <v/>
      </c>
      <c r="U35" s="75" t="str">
        <f aca="false">IF(AND(U$5&gt;$F35,U$5&lt;=$G35),IF($K35="Sí",2,1),IF(AND($D35=0,U$5=$G35),3,""))</f>
        <v/>
      </c>
      <c r="V35" s="75" t="str">
        <f aca="false">IF(AND(V$5&gt;$F35,V$5&lt;=$G35),IF($K35="Sí",2,1),IF(AND($D35=0,V$5=$G35),3,""))</f>
        <v/>
      </c>
      <c r="W35" s="75" t="str">
        <f aca="false">IF(AND(W$5&gt;$F35,W$5&lt;=$G35),IF($K35="Sí",2,1),IF(AND($D35=0,W$5=$G35),3,""))</f>
        <v/>
      </c>
      <c r="X35" s="75" t="str">
        <f aca="false">IF(AND(X$5&gt;$F35,X$5&lt;=$G35),IF($K35="Sí",2,1),IF(AND($D35=0,X$5=$G35),3,""))</f>
        <v/>
      </c>
      <c r="Y35" s="75" t="str">
        <f aca="false">IF(AND(Y$5&gt;$F35,Y$5&lt;=$G35),IF($K35="Sí",2,1),IF(AND($D35=0,Y$5=$G35),3,""))</f>
        <v/>
      </c>
      <c r="Z35" s="75" t="str">
        <f aca="false">IF(AND(Z$5&gt;$F35,Z$5&lt;=$G35),IF($K35="Sí",2,1),IF(AND($D35=0,Z$5=$G35),3,""))</f>
        <v/>
      </c>
      <c r="AA35" s="75" t="str">
        <f aca="false">IF(AND(AA$5&gt;$F35,AA$5&lt;=$G35),IF($K35="Sí",2,1),IF(AND($D35=0,AA$5=$G35),3,""))</f>
        <v/>
      </c>
      <c r="AB35" s="75" t="str">
        <f aca="false">IF(AND(AB$5&gt;$F35,AB$5&lt;=$G35),IF($K35="Sí",2,1),IF(AND($D35=0,AB$5=$G35),3,""))</f>
        <v/>
      </c>
      <c r="AC35" s="75" t="str">
        <f aca="false">IF(AND(AC$5&gt;$F35,AC$5&lt;=$G35),IF($K35="Sí",2,1),IF(AND($D35=0,AC$5=$G35),3,""))</f>
        <v/>
      </c>
      <c r="AD35" s="75" t="str">
        <f aca="false">IF(AND(AD$5&gt;$F35,AD$5&lt;=$G35),IF($K35="Sí",2,1),IF(AND($D35=0,AD$5=$G35),3,""))</f>
        <v/>
      </c>
      <c r="AE35" s="75" t="str">
        <f aca="false">IF(AND(AE$5&gt;$F35,AE$5&lt;=$G35),IF($K35="Sí",2,1),IF(AND($D35=0,AE$5=$G35),3,""))</f>
        <v/>
      </c>
      <c r="AF35" s="75" t="str">
        <f aca="false">IF(AND(AF$5&gt;$F35,AF$5&lt;=$G35),IF($K35="Sí",2,1),IF(AND($D35=0,AF$5=$G35),3,""))</f>
        <v/>
      </c>
      <c r="AG35" s="75" t="str">
        <f aca="false">IF(AND(AG$5&gt;$F35,AG$5&lt;=$G35),IF($K35="Sí",2,1),IF(AND($D35=0,AG$5=$G35),3,""))</f>
        <v/>
      </c>
      <c r="AH35" s="75" t="str">
        <f aca="false">IF(AND(AH$5&gt;$F35,AH$5&lt;=$G35),IF($K35="Sí",2,1),IF(AND($D35=0,AH$5=$G35),3,""))</f>
        <v/>
      </c>
      <c r="AI35" s="75" t="str">
        <f aca="false">IF(AND(AI$5&gt;$F35,AI$5&lt;=$G35),IF($K35="Sí",2,1),IF(AND($D35=0,AI$5=$G35),3,""))</f>
        <v/>
      </c>
      <c r="AJ35" s="75" t="str">
        <f aca="false">IF(AND(AJ$5&gt;$F35,AJ$5&lt;=$G35),IF($K35="Sí",2,1),IF(AND($D35=0,AJ$5=$G35),3,""))</f>
        <v/>
      </c>
      <c r="AK35" s="75" t="str">
        <f aca="false">IF(AND(AK$5&gt;$F35,AK$5&lt;=$G35),IF($K35="Sí",2,1),IF(AND($D35=0,AK$5=$G35),3,""))</f>
        <v/>
      </c>
      <c r="AL35" s="75" t="str">
        <f aca="false">IF(AND(AL$5&gt;$F35,AL$5&lt;=$G35),IF($K35="Sí",2,1),IF(AND($D35=0,AL$5=$G35),3,""))</f>
        <v/>
      </c>
      <c r="AM35" s="75" t="str">
        <f aca="false">IF(AND(AM$5&gt;$F35,AM$5&lt;=$G35),IF($K35="Sí",2,1),IF(AND($D35=0,AM$5=$G35),3,""))</f>
        <v/>
      </c>
      <c r="AN35" s="75" t="str">
        <f aca="false">IF(AND(AN$5&gt;$F35,AN$5&lt;=$G35),IF($K35="Sí",2,1),IF(AND($D35=0,AN$5=$G35),3,""))</f>
        <v/>
      </c>
      <c r="AO35" s="75" t="str">
        <f aca="false">IF(AND(AO$5&gt;$F35,AO$5&lt;=$G35),IF($K35="Sí",2,1),IF(AND($D35=0,AO$5=$G35),3,""))</f>
        <v/>
      </c>
      <c r="AP35" s="75" t="str">
        <f aca="false">IF(AND(AP$5&gt;$F35,AP$5&lt;=$G35),IF($K35="Sí",2,1),IF(AND($D35=0,AP$5=$G35),3,""))</f>
        <v/>
      </c>
      <c r="AQ35" s="75" t="str">
        <f aca="false">IF(AND(AQ$5&gt;$F35,AQ$5&lt;=$G35),IF($K35="Sí",2,1),IF(AND($D35=0,AQ$5=$G35),3,""))</f>
        <v/>
      </c>
      <c r="AR35" s="75" t="str">
        <f aca="false">IF(AND(AR$5&gt;$F35,AR$5&lt;=$G35),IF($K35="Sí",2,1),IF(AND($D35=0,AR$5=$G35),3,""))</f>
        <v/>
      </c>
      <c r="AS35" s="75" t="str">
        <f aca="false">IF(AND(AS$5&gt;$F35,AS$5&lt;=$G35),IF($K35="Sí",2,1),IF(AND($D35=0,AS$5=$G35),3,""))</f>
        <v/>
      </c>
      <c r="AT35" s="75" t="str">
        <f aca="false">IF(AND(AT$5&gt;$F35,AT$5&lt;=$G35),IF($K35="Sí",2,1),IF(AND($D35=0,AT$5=$G35),3,""))</f>
        <v/>
      </c>
      <c r="AU35" s="75" t="str">
        <f aca="false">IF(AND(AU$5&gt;$F35,AU$5&lt;=$G35),IF($K35="Sí",2,1),IF(AND($D35=0,AU$5=$G35),3,""))</f>
        <v/>
      </c>
      <c r="AV35" s="75" t="str">
        <f aca="false">IF(AND(AV$5&gt;$F35,AV$5&lt;=$G35),IF($K35="Sí",2,1),IF(AND($D35=0,AV$5=$G35),3,""))</f>
        <v/>
      </c>
      <c r="AW35" s="75" t="str">
        <f aca="false">IF(AND(AW$5&gt;$F35,AW$5&lt;=$G35),IF($K35="Sí",2,1),IF(AND($D35=0,AW$5=$G35),3,""))</f>
        <v/>
      </c>
      <c r="AX35" s="75" t="str">
        <f aca="false">IF(AND(AX$5&gt;$F35,AX$5&lt;=$G35),IF($K35="Sí",2,1),IF(AND($D35=0,AX$5=$G35),3,""))</f>
        <v/>
      </c>
      <c r="AY35" s="75" t="n">
        <f aca="false">IF(AND(AY$5&gt;$F35,AY$5&lt;=$G35),IF($K35="Sí",2,1),IF(AND($D35=0,AY$5=$G35),3,""))</f>
        <v>2</v>
      </c>
      <c r="AZ35" s="75" t="n">
        <f aca="false">IF(AND(AZ$5&gt;$F35,AZ$5&lt;=$G35),IF($K35="Sí",2,1),IF(AND($D35=0,AZ$5=$G35),3,""))</f>
        <v>2</v>
      </c>
      <c r="BA35" s="75" t="str">
        <f aca="false">IF(AND(BA$5&gt;$F35,BA$5&lt;=$G35),IF($K35="Sí",2,1),IF(AND($D35=0,BA$5=$G35),3,""))</f>
        <v/>
      </c>
      <c r="BB35" s="75" t="str">
        <f aca="false">IF(AND(BB$5&gt;$F35,BB$5&lt;=$G35),IF($K35="Sí",2,1),IF(AND($D35=0,BB$5=$G35),3,""))</f>
        <v/>
      </c>
      <c r="BC35" s="75" t="str">
        <f aca="false">IF(AND(BC$5&gt;$F35,BC$5&lt;=$G35),IF($K35="Sí",2,1),IF(AND($D35=0,BC$5=$G35),3,""))</f>
        <v/>
      </c>
      <c r="BD35" s="75" t="str">
        <f aca="false">IF(AND(BD$5&gt;$F35,BD$5&lt;=$G35),IF($K35="Sí",2,1),IF(AND($D35=0,BD$5=$G35),3,""))</f>
        <v/>
      </c>
      <c r="BE35" s="75" t="str">
        <f aca="false">IF(AND(BE$5&gt;$F35,BE$5&lt;=$G35),IF($K35="Sí",2,1),IF(AND($D35=0,BE$5=$G35),3,""))</f>
        <v/>
      </c>
      <c r="BF35" s="75" t="str">
        <f aca="false">IF(AND(BF$5&gt;$F35,BF$5&lt;=$G35),IF($K35="Sí",2,1),IF(AND($D35=0,BF$5=$G35),3,""))</f>
        <v/>
      </c>
      <c r="BG35" s="75" t="str">
        <f aca="false">IF(AND(BG$5&gt;$F35,BG$5&lt;=$G35),IF($K35="Sí",2,1),IF(AND($D35=0,BG$5=$G35),3,""))</f>
        <v/>
      </c>
      <c r="BH35" s="75" t="str">
        <f aca="false">IF(AND(BH$5&gt;$F35,BH$5&lt;=$G35),IF($K35="Sí",2,1),IF(AND($D35=0,BH$5=$G35),3,""))</f>
        <v/>
      </c>
      <c r="BI35" s="75" t="str">
        <f aca="false">IF(AND(BI$5&gt;$F35,BI$5&lt;=$G35),IF($K35="Sí",2,1),IF(AND($D35=0,BI$5=$G35),3,""))</f>
        <v/>
      </c>
      <c r="BJ35" s="75" t="str">
        <f aca="false">IF(AND(BJ$5&gt;$F35,BJ$5&lt;=$G35),IF($K35="Sí",2,1),IF(AND($D35=0,BJ$5=$G35),3,""))</f>
        <v/>
      </c>
      <c r="BK35" s="75" t="str">
        <f aca="false">IF(AND(BK$5&gt;$F35,BK$5&lt;=$G35),IF($K35="Sí",2,1),IF(AND($D35=0,BK$5=$G35),3,""))</f>
        <v/>
      </c>
      <c r="BL35" s="75" t="str">
        <f aca="false">IF(AND(BL$5&gt;$F35,BL$5&lt;=$G35),IF($K35="Sí",2,1),IF(AND($D35=0,BL$5=$G35),3,""))</f>
        <v/>
      </c>
      <c r="BM35" s="75" t="str">
        <f aca="false">IF(AND(BM$5&gt;$F35,BM$5&lt;=$G35),IF($K35="Sí",2,1),IF(AND($D35=0,BM$5=$G35),3,""))</f>
        <v/>
      </c>
      <c r="BN35" s="75" t="str">
        <f aca="false">IF(AND(BN$5&gt;$F35,BN$5&lt;=$G35),IF($K35="Sí",2,1),IF(AND($D35=0,BN$5=$G35),3,""))</f>
        <v/>
      </c>
      <c r="BO35" s="75" t="str">
        <f aca="false">IF(AND(BO$5&gt;$F35,BO$5&lt;=$G35),IF($K35="Sí",2,1),IF(AND($D35=0,BO$5=$G35),3,""))</f>
        <v/>
      </c>
      <c r="BQ35" s="59" t="n">
        <v>0</v>
      </c>
      <c r="BR35" s="59" t="n">
        <v>0</v>
      </c>
      <c r="BS35" s="59" t="n">
        <v>0</v>
      </c>
      <c r="BT35" s="59" t="n">
        <v>0</v>
      </c>
      <c r="BU35" s="59" t="n">
        <v>80</v>
      </c>
      <c r="BV35" s="59" t="n">
        <v>0</v>
      </c>
      <c r="BW35" s="76" t="n">
        <f aca="false">L35-80</f>
        <v>0</v>
      </c>
      <c r="BX35" s="77" t="n">
        <f aca="false">IF($D35=0,0,BQ35/$D35)</f>
        <v>0</v>
      </c>
      <c r="BY35" s="77" t="n">
        <f aca="false">IF($D35=0,0,BR35/$D35)</f>
        <v>0</v>
      </c>
      <c r="BZ35" s="77" t="n">
        <f aca="false">IF($D35=0,0,BS35/$D35)</f>
        <v>0</v>
      </c>
      <c r="CA35" s="77" t="n">
        <f aca="false">IF($D35=0,0,BT35/$D35)</f>
        <v>0</v>
      </c>
      <c r="CB35" s="77" t="n">
        <f aca="false">IF($D35=0,0,BU35/$D35)</f>
        <v>40</v>
      </c>
      <c r="CC35" s="77" t="n">
        <f aca="false">IF($D35=0,0,BV35/$D35)</f>
        <v>0</v>
      </c>
    </row>
    <row r="36" customFormat="false" ht="15" hidden="false" customHeight="true" outlineLevel="0" collapsed="false">
      <c r="A36" s="7" t="s">
        <v>1093</v>
      </c>
      <c r="B36" s="7" t="s">
        <v>1441</v>
      </c>
      <c r="C36" s="7" t="s">
        <v>1406</v>
      </c>
      <c r="D36" s="30" t="n">
        <v>4</v>
      </c>
      <c r="E36" s="7" t="s">
        <v>992</v>
      </c>
      <c r="F36" s="32" t="n">
        <f aca="false">MAX(G25)+Q36</f>
        <v>26</v>
      </c>
      <c r="G36" s="32" t="n">
        <f aca="false">F36+D36</f>
        <v>30</v>
      </c>
      <c r="H36" s="32" t="n">
        <f aca="false">I36-D36</f>
        <v>31</v>
      </c>
      <c r="I36" s="32" t="n">
        <f aca="false">MIN(H37)</f>
        <v>35</v>
      </c>
      <c r="J36" s="32" t="n">
        <f aca="false">H36-F36</f>
        <v>5</v>
      </c>
      <c r="K36" s="71" t="str">
        <f aca="false">IF(J36=0,"Sí","")</f>
        <v/>
      </c>
      <c r="L36" s="72" t="n">
        <f aca="false">SUM(BQ36:BV36)</f>
        <v>160</v>
      </c>
      <c r="M36" s="33" t="n">
        <f aca="false">SUMIFS(Cotizaciones!$J$5:$J$70,Cotizaciones!$C$5:$C$70,A36)</f>
        <v>60000000</v>
      </c>
      <c r="N36" s="32" t="n">
        <f aca="false">(L36*Supuestos!$B$47+M36*(1+Supuestos!$B$50))*(1+Supuestos!$B$51)/(1-Supuestos!$B$52)</f>
        <v>97469635.6275304</v>
      </c>
      <c r="O36" s="73" t="n">
        <f aca="false">$C$3+F36*7</f>
        <v>46580</v>
      </c>
      <c r="P36" s="73" t="n">
        <f aca="false">$C$3+G36*7-IF(D36&gt;0,1,0)</f>
        <v>46607</v>
      </c>
      <c r="Q36" s="74" t="n">
        <v>0</v>
      </c>
      <c r="R36" s="75" t="str">
        <f aca="false">IF(AND(R$5&gt;$F36,R$5&lt;=$G36),IF($K36="Sí",2,1),IF(AND($D36=0,R$5=$G36),3,""))</f>
        <v/>
      </c>
      <c r="S36" s="75" t="str">
        <f aca="false">IF(AND(S$5&gt;$F36,S$5&lt;=$G36),IF($K36="Sí",2,1),IF(AND($D36=0,S$5=$G36),3,""))</f>
        <v/>
      </c>
      <c r="T36" s="75" t="str">
        <f aca="false">IF(AND(T$5&gt;$F36,T$5&lt;=$G36),IF($K36="Sí",2,1),IF(AND($D36=0,T$5=$G36),3,""))</f>
        <v/>
      </c>
      <c r="U36" s="75" t="str">
        <f aca="false">IF(AND(U$5&gt;$F36,U$5&lt;=$G36),IF($K36="Sí",2,1),IF(AND($D36=0,U$5=$G36),3,""))</f>
        <v/>
      </c>
      <c r="V36" s="75" t="str">
        <f aca="false">IF(AND(V$5&gt;$F36,V$5&lt;=$G36),IF($K36="Sí",2,1),IF(AND($D36=0,V$5=$G36),3,""))</f>
        <v/>
      </c>
      <c r="W36" s="75" t="str">
        <f aca="false">IF(AND(W$5&gt;$F36,W$5&lt;=$G36),IF($K36="Sí",2,1),IF(AND($D36=0,W$5=$G36),3,""))</f>
        <v/>
      </c>
      <c r="X36" s="75" t="str">
        <f aca="false">IF(AND(X$5&gt;$F36,X$5&lt;=$G36),IF($K36="Sí",2,1),IF(AND($D36=0,X$5=$G36),3,""))</f>
        <v/>
      </c>
      <c r="Y36" s="75" t="str">
        <f aca="false">IF(AND(Y$5&gt;$F36,Y$5&lt;=$G36),IF($K36="Sí",2,1),IF(AND($D36=0,Y$5=$G36),3,""))</f>
        <v/>
      </c>
      <c r="Z36" s="75" t="str">
        <f aca="false">IF(AND(Z$5&gt;$F36,Z$5&lt;=$G36),IF($K36="Sí",2,1),IF(AND($D36=0,Z$5=$G36),3,""))</f>
        <v/>
      </c>
      <c r="AA36" s="75" t="str">
        <f aca="false">IF(AND(AA$5&gt;$F36,AA$5&lt;=$G36),IF($K36="Sí",2,1),IF(AND($D36=0,AA$5=$G36),3,""))</f>
        <v/>
      </c>
      <c r="AB36" s="75" t="str">
        <f aca="false">IF(AND(AB$5&gt;$F36,AB$5&lt;=$G36),IF($K36="Sí",2,1),IF(AND($D36=0,AB$5=$G36),3,""))</f>
        <v/>
      </c>
      <c r="AC36" s="75" t="str">
        <f aca="false">IF(AND(AC$5&gt;$F36,AC$5&lt;=$G36),IF($K36="Sí",2,1),IF(AND($D36=0,AC$5=$G36),3,""))</f>
        <v/>
      </c>
      <c r="AD36" s="75" t="str">
        <f aca="false">IF(AND(AD$5&gt;$F36,AD$5&lt;=$G36),IF($K36="Sí",2,1),IF(AND($D36=0,AD$5=$G36),3,""))</f>
        <v/>
      </c>
      <c r="AE36" s="75" t="str">
        <f aca="false">IF(AND(AE$5&gt;$F36,AE$5&lt;=$G36),IF($K36="Sí",2,1),IF(AND($D36=0,AE$5=$G36),3,""))</f>
        <v/>
      </c>
      <c r="AF36" s="75" t="str">
        <f aca="false">IF(AND(AF$5&gt;$F36,AF$5&lt;=$G36),IF($K36="Sí",2,1),IF(AND($D36=0,AF$5=$G36),3,""))</f>
        <v/>
      </c>
      <c r="AG36" s="75" t="str">
        <f aca="false">IF(AND(AG$5&gt;$F36,AG$5&lt;=$G36),IF($K36="Sí",2,1),IF(AND($D36=0,AG$5=$G36),3,""))</f>
        <v/>
      </c>
      <c r="AH36" s="75" t="str">
        <f aca="false">IF(AND(AH$5&gt;$F36,AH$5&lt;=$G36),IF($K36="Sí",2,1),IF(AND($D36=0,AH$5=$G36),3,""))</f>
        <v/>
      </c>
      <c r="AI36" s="75" t="str">
        <f aca="false">IF(AND(AI$5&gt;$F36,AI$5&lt;=$G36),IF($K36="Sí",2,1),IF(AND($D36=0,AI$5=$G36),3,""))</f>
        <v/>
      </c>
      <c r="AJ36" s="75" t="str">
        <f aca="false">IF(AND(AJ$5&gt;$F36,AJ$5&lt;=$G36),IF($K36="Sí",2,1),IF(AND($D36=0,AJ$5=$G36),3,""))</f>
        <v/>
      </c>
      <c r="AK36" s="75" t="str">
        <f aca="false">IF(AND(AK$5&gt;$F36,AK$5&lt;=$G36),IF($K36="Sí",2,1),IF(AND($D36=0,AK$5=$G36),3,""))</f>
        <v/>
      </c>
      <c r="AL36" s="75" t="str">
        <f aca="false">IF(AND(AL$5&gt;$F36,AL$5&lt;=$G36),IF($K36="Sí",2,1),IF(AND($D36=0,AL$5=$G36),3,""))</f>
        <v/>
      </c>
      <c r="AM36" s="75" t="str">
        <f aca="false">IF(AND(AM$5&gt;$F36,AM$5&lt;=$G36),IF($K36="Sí",2,1),IF(AND($D36=0,AM$5=$G36),3,""))</f>
        <v/>
      </c>
      <c r="AN36" s="75" t="str">
        <f aca="false">IF(AND(AN$5&gt;$F36,AN$5&lt;=$G36),IF($K36="Sí",2,1),IF(AND($D36=0,AN$5=$G36),3,""))</f>
        <v/>
      </c>
      <c r="AO36" s="75" t="str">
        <f aca="false">IF(AND(AO$5&gt;$F36,AO$5&lt;=$G36),IF($K36="Sí",2,1),IF(AND($D36=0,AO$5=$G36),3,""))</f>
        <v/>
      </c>
      <c r="AP36" s="75" t="str">
        <f aca="false">IF(AND(AP$5&gt;$F36,AP$5&lt;=$G36),IF($K36="Sí",2,1),IF(AND($D36=0,AP$5=$G36),3,""))</f>
        <v/>
      </c>
      <c r="AQ36" s="75" t="str">
        <f aca="false">IF(AND(AQ$5&gt;$F36,AQ$5&lt;=$G36),IF($K36="Sí",2,1),IF(AND($D36=0,AQ$5=$G36),3,""))</f>
        <v/>
      </c>
      <c r="AR36" s="75" t="n">
        <f aca="false">IF(AND(AR$5&gt;$F36,AR$5&lt;=$G36),IF($K36="Sí",2,1),IF(AND($D36=0,AR$5=$G36),3,""))</f>
        <v>1</v>
      </c>
      <c r="AS36" s="75" t="n">
        <f aca="false">IF(AND(AS$5&gt;$F36,AS$5&lt;=$G36),IF($K36="Sí",2,1),IF(AND($D36=0,AS$5=$G36),3,""))</f>
        <v>1</v>
      </c>
      <c r="AT36" s="75" t="n">
        <f aca="false">IF(AND(AT$5&gt;$F36,AT$5&lt;=$G36),IF($K36="Sí",2,1),IF(AND($D36=0,AT$5=$G36),3,""))</f>
        <v>1</v>
      </c>
      <c r="AU36" s="75" t="n">
        <f aca="false">IF(AND(AU$5&gt;$F36,AU$5&lt;=$G36),IF($K36="Sí",2,1),IF(AND($D36=0,AU$5=$G36),3,""))</f>
        <v>1</v>
      </c>
      <c r="AV36" s="75" t="str">
        <f aca="false">IF(AND(AV$5&gt;$F36,AV$5&lt;=$G36),IF($K36="Sí",2,1),IF(AND($D36=0,AV$5=$G36),3,""))</f>
        <v/>
      </c>
      <c r="AW36" s="75" t="str">
        <f aca="false">IF(AND(AW$5&gt;$F36,AW$5&lt;=$G36),IF($K36="Sí",2,1),IF(AND($D36=0,AW$5=$G36),3,""))</f>
        <v/>
      </c>
      <c r="AX36" s="75" t="str">
        <f aca="false">IF(AND(AX$5&gt;$F36,AX$5&lt;=$G36),IF($K36="Sí",2,1),IF(AND($D36=0,AX$5=$G36),3,""))</f>
        <v/>
      </c>
      <c r="AY36" s="75" t="str">
        <f aca="false">IF(AND(AY$5&gt;$F36,AY$5&lt;=$G36),IF($K36="Sí",2,1),IF(AND($D36=0,AY$5=$G36),3,""))</f>
        <v/>
      </c>
      <c r="AZ36" s="75" t="str">
        <f aca="false">IF(AND(AZ$5&gt;$F36,AZ$5&lt;=$G36),IF($K36="Sí",2,1),IF(AND($D36=0,AZ$5=$G36),3,""))</f>
        <v/>
      </c>
      <c r="BA36" s="75" t="str">
        <f aca="false">IF(AND(BA$5&gt;$F36,BA$5&lt;=$G36),IF($K36="Sí",2,1),IF(AND($D36=0,BA$5=$G36),3,""))</f>
        <v/>
      </c>
      <c r="BB36" s="75" t="str">
        <f aca="false">IF(AND(BB$5&gt;$F36,BB$5&lt;=$G36),IF($K36="Sí",2,1),IF(AND($D36=0,BB$5=$G36),3,""))</f>
        <v/>
      </c>
      <c r="BC36" s="75" t="str">
        <f aca="false">IF(AND(BC$5&gt;$F36,BC$5&lt;=$G36),IF($K36="Sí",2,1),IF(AND($D36=0,BC$5=$G36),3,""))</f>
        <v/>
      </c>
      <c r="BD36" s="75" t="str">
        <f aca="false">IF(AND(BD$5&gt;$F36,BD$5&lt;=$G36),IF($K36="Sí",2,1),IF(AND($D36=0,BD$5=$G36),3,""))</f>
        <v/>
      </c>
      <c r="BE36" s="75" t="str">
        <f aca="false">IF(AND(BE$5&gt;$F36,BE$5&lt;=$G36),IF($K36="Sí",2,1),IF(AND($D36=0,BE$5=$G36),3,""))</f>
        <v/>
      </c>
      <c r="BF36" s="75" t="str">
        <f aca="false">IF(AND(BF$5&gt;$F36,BF$5&lt;=$G36),IF($K36="Sí",2,1),IF(AND($D36=0,BF$5=$G36),3,""))</f>
        <v/>
      </c>
      <c r="BG36" s="75" t="str">
        <f aca="false">IF(AND(BG$5&gt;$F36,BG$5&lt;=$G36),IF($K36="Sí",2,1),IF(AND($D36=0,BG$5=$G36),3,""))</f>
        <v/>
      </c>
      <c r="BH36" s="75" t="str">
        <f aca="false">IF(AND(BH$5&gt;$F36,BH$5&lt;=$G36),IF($K36="Sí",2,1),IF(AND($D36=0,BH$5=$G36),3,""))</f>
        <v/>
      </c>
      <c r="BI36" s="75" t="str">
        <f aca="false">IF(AND(BI$5&gt;$F36,BI$5&lt;=$G36),IF($K36="Sí",2,1),IF(AND($D36=0,BI$5=$G36),3,""))</f>
        <v/>
      </c>
      <c r="BJ36" s="75" t="str">
        <f aca="false">IF(AND(BJ$5&gt;$F36,BJ$5&lt;=$G36),IF($K36="Sí",2,1),IF(AND($D36=0,BJ$5=$G36),3,""))</f>
        <v/>
      </c>
      <c r="BK36" s="75" t="str">
        <f aca="false">IF(AND(BK$5&gt;$F36,BK$5&lt;=$G36),IF($K36="Sí",2,1),IF(AND($D36=0,BK$5=$G36),3,""))</f>
        <v/>
      </c>
      <c r="BL36" s="75" t="str">
        <f aca="false">IF(AND(BL$5&gt;$F36,BL$5&lt;=$G36),IF($K36="Sí",2,1),IF(AND($D36=0,BL$5=$G36),3,""))</f>
        <v/>
      </c>
      <c r="BM36" s="75" t="str">
        <f aca="false">IF(AND(BM$5&gt;$F36,BM$5&lt;=$G36),IF($K36="Sí",2,1),IF(AND($D36=0,BM$5=$G36),3,""))</f>
        <v/>
      </c>
      <c r="BN36" s="75" t="str">
        <f aca="false">IF(AND(BN$5&gt;$F36,BN$5&lt;=$G36),IF($K36="Sí",2,1),IF(AND($D36=0,BN$5=$G36),3,""))</f>
        <v/>
      </c>
      <c r="BO36" s="75" t="str">
        <f aca="false">IF(AND(BO$5&gt;$F36,BO$5&lt;=$G36),IF($K36="Sí",2,1),IF(AND($D36=0,BO$5=$G36),3,""))</f>
        <v/>
      </c>
      <c r="BQ36" s="59" t="n">
        <v>0</v>
      </c>
      <c r="BR36" s="59" t="n">
        <v>0</v>
      </c>
      <c r="BS36" s="59" t="n">
        <v>0</v>
      </c>
      <c r="BT36" s="59" t="n">
        <v>0</v>
      </c>
      <c r="BU36" s="59" t="n">
        <v>98</v>
      </c>
      <c r="BV36" s="59" t="n">
        <v>62</v>
      </c>
      <c r="BW36" s="76" t="n">
        <f aca="false">L36-160</f>
        <v>0</v>
      </c>
      <c r="BX36" s="77" t="n">
        <f aca="false">IF($D36=0,0,BQ36/$D36)</f>
        <v>0</v>
      </c>
      <c r="BY36" s="77" t="n">
        <f aca="false">IF($D36=0,0,BR36/$D36)</f>
        <v>0</v>
      </c>
      <c r="BZ36" s="77" t="n">
        <f aca="false">IF($D36=0,0,BS36/$D36)</f>
        <v>0</v>
      </c>
      <c r="CA36" s="77" t="n">
        <f aca="false">IF($D36=0,0,BT36/$D36)</f>
        <v>0</v>
      </c>
      <c r="CB36" s="77" t="n">
        <f aca="false">IF($D36=0,0,BU36/$D36)</f>
        <v>24.5</v>
      </c>
      <c r="CC36" s="77" t="n">
        <f aca="false">IF($D36=0,0,BV36/$D36)</f>
        <v>15.5</v>
      </c>
    </row>
    <row r="37" customFormat="false" ht="15" hidden="false" customHeight="true" outlineLevel="0" collapsed="false">
      <c r="A37" s="7" t="s">
        <v>1442</v>
      </c>
      <c r="B37" s="7" t="s">
        <v>1443</v>
      </c>
      <c r="C37" s="7" t="s">
        <v>1388</v>
      </c>
      <c r="D37" s="30" t="n">
        <v>2</v>
      </c>
      <c r="E37" s="7" t="s">
        <v>1444</v>
      </c>
      <c r="F37" s="32" t="n">
        <f aca="false">MAX(G33,G34,G35,G36)+Q37</f>
        <v>35</v>
      </c>
      <c r="G37" s="32" t="n">
        <f aca="false">F37+D37</f>
        <v>37</v>
      </c>
      <c r="H37" s="32" t="n">
        <f aca="false">I37-D37</f>
        <v>35</v>
      </c>
      <c r="I37" s="32" t="n">
        <f aca="false">MIN(H38,H39,H41)</f>
        <v>37</v>
      </c>
      <c r="J37" s="32" t="n">
        <f aca="false">H37-F37</f>
        <v>0</v>
      </c>
      <c r="K37" s="71" t="str">
        <f aca="false">IF(J37=0,"Sí","")</f>
        <v>Sí</v>
      </c>
      <c r="L37" s="72" t="n">
        <f aca="false">SUM(BQ37:BV37)</f>
        <v>440</v>
      </c>
      <c r="M37" s="33" t="n">
        <f aca="false">SUMIFS(Cotizaciones!$J$5:$J$70,Cotizaciones!$C$5:$C$70,A37)</f>
        <v>0</v>
      </c>
      <c r="N37" s="32" t="n">
        <f aca="false">(L37*Supuestos!$B$47+M37*(1+Supuestos!$B$50))*(1+Supuestos!$B$51)/(1-Supuestos!$B$52)</f>
        <v>71477732.7935223</v>
      </c>
      <c r="O37" s="73" t="n">
        <f aca="false">$C$3+F37*7</f>
        <v>46643</v>
      </c>
      <c r="P37" s="73" t="n">
        <f aca="false">$C$3+G37*7-IF(D37&gt;0,1,0)</f>
        <v>46656</v>
      </c>
      <c r="Q37" s="74" t="n">
        <v>0</v>
      </c>
      <c r="R37" s="75" t="str">
        <f aca="false">IF(AND(R$5&gt;$F37,R$5&lt;=$G37),IF($K37="Sí",2,1),IF(AND($D37=0,R$5=$G37),3,""))</f>
        <v/>
      </c>
      <c r="S37" s="75" t="str">
        <f aca="false">IF(AND(S$5&gt;$F37,S$5&lt;=$G37),IF($K37="Sí",2,1),IF(AND($D37=0,S$5=$G37),3,""))</f>
        <v/>
      </c>
      <c r="T37" s="75" t="str">
        <f aca="false">IF(AND(T$5&gt;$F37,T$5&lt;=$G37),IF($K37="Sí",2,1),IF(AND($D37=0,T$5=$G37),3,""))</f>
        <v/>
      </c>
      <c r="U37" s="75" t="str">
        <f aca="false">IF(AND(U$5&gt;$F37,U$5&lt;=$G37),IF($K37="Sí",2,1),IF(AND($D37=0,U$5=$G37),3,""))</f>
        <v/>
      </c>
      <c r="V37" s="75" t="str">
        <f aca="false">IF(AND(V$5&gt;$F37,V$5&lt;=$G37),IF($K37="Sí",2,1),IF(AND($D37=0,V$5=$G37),3,""))</f>
        <v/>
      </c>
      <c r="W37" s="75" t="str">
        <f aca="false">IF(AND(W$5&gt;$F37,W$5&lt;=$G37),IF($K37="Sí",2,1),IF(AND($D37=0,W$5=$G37),3,""))</f>
        <v/>
      </c>
      <c r="X37" s="75" t="str">
        <f aca="false">IF(AND(X$5&gt;$F37,X$5&lt;=$G37),IF($K37="Sí",2,1),IF(AND($D37=0,X$5=$G37),3,""))</f>
        <v/>
      </c>
      <c r="Y37" s="75" t="str">
        <f aca="false">IF(AND(Y$5&gt;$F37,Y$5&lt;=$G37),IF($K37="Sí",2,1),IF(AND($D37=0,Y$5=$G37),3,""))</f>
        <v/>
      </c>
      <c r="Z37" s="75" t="str">
        <f aca="false">IF(AND(Z$5&gt;$F37,Z$5&lt;=$G37),IF($K37="Sí",2,1),IF(AND($D37=0,Z$5=$G37),3,""))</f>
        <v/>
      </c>
      <c r="AA37" s="75" t="str">
        <f aca="false">IF(AND(AA$5&gt;$F37,AA$5&lt;=$G37),IF($K37="Sí",2,1),IF(AND($D37=0,AA$5=$G37),3,""))</f>
        <v/>
      </c>
      <c r="AB37" s="75" t="str">
        <f aca="false">IF(AND(AB$5&gt;$F37,AB$5&lt;=$G37),IF($K37="Sí",2,1),IF(AND($D37=0,AB$5=$G37),3,""))</f>
        <v/>
      </c>
      <c r="AC37" s="75" t="str">
        <f aca="false">IF(AND(AC$5&gt;$F37,AC$5&lt;=$G37),IF($K37="Sí",2,1),IF(AND($D37=0,AC$5=$G37),3,""))</f>
        <v/>
      </c>
      <c r="AD37" s="75" t="str">
        <f aca="false">IF(AND(AD$5&gt;$F37,AD$5&lt;=$G37),IF($K37="Sí",2,1),IF(AND($D37=0,AD$5=$G37),3,""))</f>
        <v/>
      </c>
      <c r="AE37" s="75" t="str">
        <f aca="false">IF(AND(AE$5&gt;$F37,AE$5&lt;=$G37),IF($K37="Sí",2,1),IF(AND($D37=0,AE$5=$G37),3,""))</f>
        <v/>
      </c>
      <c r="AF37" s="75" t="str">
        <f aca="false">IF(AND(AF$5&gt;$F37,AF$5&lt;=$G37),IF($K37="Sí",2,1),IF(AND($D37=0,AF$5=$G37),3,""))</f>
        <v/>
      </c>
      <c r="AG37" s="75" t="str">
        <f aca="false">IF(AND(AG$5&gt;$F37,AG$5&lt;=$G37),IF($K37="Sí",2,1),IF(AND($D37=0,AG$5=$G37),3,""))</f>
        <v/>
      </c>
      <c r="AH37" s="75" t="str">
        <f aca="false">IF(AND(AH$5&gt;$F37,AH$5&lt;=$G37),IF($K37="Sí",2,1),IF(AND($D37=0,AH$5=$G37),3,""))</f>
        <v/>
      </c>
      <c r="AI37" s="75" t="str">
        <f aca="false">IF(AND(AI$5&gt;$F37,AI$5&lt;=$G37),IF($K37="Sí",2,1),IF(AND($D37=0,AI$5=$G37),3,""))</f>
        <v/>
      </c>
      <c r="AJ37" s="75" t="str">
        <f aca="false">IF(AND(AJ$5&gt;$F37,AJ$5&lt;=$G37),IF($K37="Sí",2,1),IF(AND($D37=0,AJ$5=$G37),3,""))</f>
        <v/>
      </c>
      <c r="AK37" s="75" t="str">
        <f aca="false">IF(AND(AK$5&gt;$F37,AK$5&lt;=$G37),IF($K37="Sí",2,1),IF(AND($D37=0,AK$5=$G37),3,""))</f>
        <v/>
      </c>
      <c r="AL37" s="75" t="str">
        <f aca="false">IF(AND(AL$5&gt;$F37,AL$5&lt;=$G37),IF($K37="Sí",2,1),IF(AND($D37=0,AL$5=$G37),3,""))</f>
        <v/>
      </c>
      <c r="AM37" s="75" t="str">
        <f aca="false">IF(AND(AM$5&gt;$F37,AM$5&lt;=$G37),IF($K37="Sí",2,1),IF(AND($D37=0,AM$5=$G37),3,""))</f>
        <v/>
      </c>
      <c r="AN37" s="75" t="str">
        <f aca="false">IF(AND(AN$5&gt;$F37,AN$5&lt;=$G37),IF($K37="Sí",2,1),IF(AND($D37=0,AN$5=$G37),3,""))</f>
        <v/>
      </c>
      <c r="AO37" s="75" t="str">
        <f aca="false">IF(AND(AO$5&gt;$F37,AO$5&lt;=$G37),IF($K37="Sí",2,1),IF(AND($D37=0,AO$5=$G37),3,""))</f>
        <v/>
      </c>
      <c r="AP37" s="75" t="str">
        <f aca="false">IF(AND(AP$5&gt;$F37,AP$5&lt;=$G37),IF($K37="Sí",2,1),IF(AND($D37=0,AP$5=$G37),3,""))</f>
        <v/>
      </c>
      <c r="AQ37" s="75" t="str">
        <f aca="false">IF(AND(AQ$5&gt;$F37,AQ$5&lt;=$G37),IF($K37="Sí",2,1),IF(AND($D37=0,AQ$5=$G37),3,""))</f>
        <v/>
      </c>
      <c r="AR37" s="75" t="str">
        <f aca="false">IF(AND(AR$5&gt;$F37,AR$5&lt;=$G37),IF($K37="Sí",2,1),IF(AND($D37=0,AR$5=$G37),3,""))</f>
        <v/>
      </c>
      <c r="AS37" s="75" t="str">
        <f aca="false">IF(AND(AS$5&gt;$F37,AS$5&lt;=$G37),IF($K37="Sí",2,1),IF(AND($D37=0,AS$5=$G37),3,""))</f>
        <v/>
      </c>
      <c r="AT37" s="75" t="str">
        <f aca="false">IF(AND(AT$5&gt;$F37,AT$5&lt;=$G37),IF($K37="Sí",2,1),IF(AND($D37=0,AT$5=$G37),3,""))</f>
        <v/>
      </c>
      <c r="AU37" s="75" t="str">
        <f aca="false">IF(AND(AU$5&gt;$F37,AU$5&lt;=$G37),IF($K37="Sí",2,1),IF(AND($D37=0,AU$5=$G37),3,""))</f>
        <v/>
      </c>
      <c r="AV37" s="75" t="str">
        <f aca="false">IF(AND(AV$5&gt;$F37,AV$5&lt;=$G37),IF($K37="Sí",2,1),IF(AND($D37=0,AV$5=$G37),3,""))</f>
        <v/>
      </c>
      <c r="AW37" s="75" t="str">
        <f aca="false">IF(AND(AW$5&gt;$F37,AW$5&lt;=$G37),IF($K37="Sí",2,1),IF(AND($D37=0,AW$5=$G37),3,""))</f>
        <v/>
      </c>
      <c r="AX37" s="75" t="str">
        <f aca="false">IF(AND(AX$5&gt;$F37,AX$5&lt;=$G37),IF($K37="Sí",2,1),IF(AND($D37=0,AX$5=$G37),3,""))</f>
        <v/>
      </c>
      <c r="AY37" s="75" t="str">
        <f aca="false">IF(AND(AY$5&gt;$F37,AY$5&lt;=$G37),IF($K37="Sí",2,1),IF(AND($D37=0,AY$5=$G37),3,""))</f>
        <v/>
      </c>
      <c r="AZ37" s="75" t="str">
        <f aca="false">IF(AND(AZ$5&gt;$F37,AZ$5&lt;=$G37),IF($K37="Sí",2,1),IF(AND($D37=0,AZ$5=$G37),3,""))</f>
        <v/>
      </c>
      <c r="BA37" s="75" t="n">
        <f aca="false">IF(AND(BA$5&gt;$F37,BA$5&lt;=$G37),IF($K37="Sí",2,1),IF(AND($D37=0,BA$5=$G37),3,""))</f>
        <v>2</v>
      </c>
      <c r="BB37" s="75" t="n">
        <f aca="false">IF(AND(BB$5&gt;$F37,BB$5&lt;=$G37),IF($K37="Sí",2,1),IF(AND($D37=0,BB$5=$G37),3,""))</f>
        <v>2</v>
      </c>
      <c r="BC37" s="75" t="str">
        <f aca="false">IF(AND(BC$5&gt;$F37,BC$5&lt;=$G37),IF($K37="Sí",2,1),IF(AND($D37=0,BC$5=$G37),3,""))</f>
        <v/>
      </c>
      <c r="BD37" s="75" t="str">
        <f aca="false">IF(AND(BD$5&gt;$F37,BD$5&lt;=$G37),IF($K37="Sí",2,1),IF(AND($D37=0,BD$5=$G37),3,""))</f>
        <v/>
      </c>
      <c r="BE37" s="75" t="str">
        <f aca="false">IF(AND(BE$5&gt;$F37,BE$5&lt;=$G37),IF($K37="Sí",2,1),IF(AND($D37=0,BE$5=$G37),3,""))</f>
        <v/>
      </c>
      <c r="BF37" s="75" t="str">
        <f aca="false">IF(AND(BF$5&gt;$F37,BF$5&lt;=$G37),IF($K37="Sí",2,1),IF(AND($D37=0,BF$5=$G37),3,""))</f>
        <v/>
      </c>
      <c r="BG37" s="75" t="str">
        <f aca="false">IF(AND(BG$5&gt;$F37,BG$5&lt;=$G37),IF($K37="Sí",2,1),IF(AND($D37=0,BG$5=$G37),3,""))</f>
        <v/>
      </c>
      <c r="BH37" s="75" t="str">
        <f aca="false">IF(AND(BH$5&gt;$F37,BH$5&lt;=$G37),IF($K37="Sí",2,1),IF(AND($D37=0,BH$5=$G37),3,""))</f>
        <v/>
      </c>
      <c r="BI37" s="75" t="str">
        <f aca="false">IF(AND(BI$5&gt;$F37,BI$5&lt;=$G37),IF($K37="Sí",2,1),IF(AND($D37=0,BI$5=$G37),3,""))</f>
        <v/>
      </c>
      <c r="BJ37" s="75" t="str">
        <f aca="false">IF(AND(BJ$5&gt;$F37,BJ$5&lt;=$G37),IF($K37="Sí",2,1),IF(AND($D37=0,BJ$5=$G37),3,""))</f>
        <v/>
      </c>
      <c r="BK37" s="75" t="str">
        <f aca="false">IF(AND(BK$5&gt;$F37,BK$5&lt;=$G37),IF($K37="Sí",2,1),IF(AND($D37=0,BK$5=$G37),3,""))</f>
        <v/>
      </c>
      <c r="BL37" s="75" t="str">
        <f aca="false">IF(AND(BL$5&gt;$F37,BL$5&lt;=$G37),IF($K37="Sí",2,1),IF(AND($D37=0,BL$5=$G37),3,""))</f>
        <v/>
      </c>
      <c r="BM37" s="75" t="str">
        <f aca="false">IF(AND(BM$5&gt;$F37,BM$5&lt;=$G37),IF($K37="Sí",2,1),IF(AND($D37=0,BM$5=$G37),3,""))</f>
        <v/>
      </c>
      <c r="BN37" s="75" t="str">
        <f aca="false">IF(AND(BN$5&gt;$F37,BN$5&lt;=$G37),IF($K37="Sí",2,1),IF(AND($D37=0,BN$5=$G37),3,""))</f>
        <v/>
      </c>
      <c r="BO37" s="75" t="str">
        <f aca="false">IF(AND(BO$5&gt;$F37,BO$5&lt;=$G37),IF($K37="Sí",2,1),IF(AND($D37=0,BO$5=$G37),3,""))</f>
        <v/>
      </c>
      <c r="BQ37" s="59" t="n">
        <v>38</v>
      </c>
      <c r="BR37" s="59" t="n">
        <v>87</v>
      </c>
      <c r="BS37" s="59" t="n">
        <v>87</v>
      </c>
      <c r="BT37" s="59" t="n">
        <v>87</v>
      </c>
      <c r="BU37" s="59" t="n">
        <v>54</v>
      </c>
      <c r="BV37" s="59" t="n">
        <v>87</v>
      </c>
      <c r="BW37" s="76" t="n">
        <f aca="false">L37-440</f>
        <v>0</v>
      </c>
      <c r="BX37" s="77" t="n">
        <f aca="false">IF($D37=0,0,BQ37/$D37)</f>
        <v>19</v>
      </c>
      <c r="BY37" s="77" t="n">
        <f aca="false">IF($D37=0,0,BR37/$D37)</f>
        <v>43.5</v>
      </c>
      <c r="BZ37" s="77" t="n">
        <f aca="false">IF($D37=0,0,BS37/$D37)</f>
        <v>43.5</v>
      </c>
      <c r="CA37" s="77" t="n">
        <f aca="false">IF($D37=0,0,BT37/$D37)</f>
        <v>43.5</v>
      </c>
      <c r="CB37" s="77" t="n">
        <f aca="false">IF($D37=0,0,BU37/$D37)</f>
        <v>27</v>
      </c>
      <c r="CC37" s="77" t="n">
        <f aca="false">IF($D37=0,0,BV37/$D37)</f>
        <v>43.5</v>
      </c>
    </row>
    <row r="38" customFormat="false" ht="15" hidden="false" customHeight="true" outlineLevel="0" collapsed="false">
      <c r="A38" s="7" t="s">
        <v>1445</v>
      </c>
      <c r="B38" s="7" t="s">
        <v>1446</v>
      </c>
      <c r="C38" s="7" t="s">
        <v>1385</v>
      </c>
      <c r="D38" s="30" t="n">
        <v>2</v>
      </c>
      <c r="E38" s="7" t="s">
        <v>1442</v>
      </c>
      <c r="F38" s="32" t="n">
        <f aca="false">MAX(G37)+Q38</f>
        <v>37</v>
      </c>
      <c r="G38" s="32" t="n">
        <f aca="false">F38+D38</f>
        <v>39</v>
      </c>
      <c r="H38" s="32" t="n">
        <f aca="false">I38-D38</f>
        <v>37</v>
      </c>
      <c r="I38" s="32" t="n">
        <f aca="false">MIN(H40)</f>
        <v>39</v>
      </c>
      <c r="J38" s="32" t="n">
        <f aca="false">H38-F38</f>
        <v>0</v>
      </c>
      <c r="K38" s="71" t="str">
        <f aca="false">IF(J38=0,"Sí","")</f>
        <v>Sí</v>
      </c>
      <c r="L38" s="72" t="n">
        <f aca="false">SUM(BQ38:BV38)</f>
        <v>280</v>
      </c>
      <c r="M38" s="33" t="n">
        <f aca="false">SUMIFS(Cotizaciones!$J$5:$J$70,Cotizaciones!$C$5:$C$70,A38)</f>
        <v>0</v>
      </c>
      <c r="N38" s="32" t="n">
        <f aca="false">(L38*Supuestos!$B$47+M38*(1+Supuestos!$B$50))*(1+Supuestos!$B$51)/(1-Supuestos!$B$52)</f>
        <v>45485829.9595142</v>
      </c>
      <c r="O38" s="73" t="n">
        <f aca="false">$C$3+F38*7</f>
        <v>46657</v>
      </c>
      <c r="P38" s="73" t="n">
        <f aca="false">$C$3+G38*7-IF(D38&gt;0,1,0)</f>
        <v>46670</v>
      </c>
      <c r="Q38" s="74" t="n">
        <v>0</v>
      </c>
      <c r="R38" s="75" t="str">
        <f aca="false">IF(AND(R$5&gt;$F38,R$5&lt;=$G38),IF($K38="Sí",2,1),IF(AND($D38=0,R$5=$G38),3,""))</f>
        <v/>
      </c>
      <c r="S38" s="75" t="str">
        <f aca="false">IF(AND(S$5&gt;$F38,S$5&lt;=$G38),IF($K38="Sí",2,1),IF(AND($D38=0,S$5=$G38),3,""))</f>
        <v/>
      </c>
      <c r="T38" s="75" t="str">
        <f aca="false">IF(AND(T$5&gt;$F38,T$5&lt;=$G38),IF($K38="Sí",2,1),IF(AND($D38=0,T$5=$G38),3,""))</f>
        <v/>
      </c>
      <c r="U38" s="75" t="str">
        <f aca="false">IF(AND(U$5&gt;$F38,U$5&lt;=$G38),IF($K38="Sí",2,1),IF(AND($D38=0,U$5=$G38),3,""))</f>
        <v/>
      </c>
      <c r="V38" s="75" t="str">
        <f aca="false">IF(AND(V$5&gt;$F38,V$5&lt;=$G38),IF($K38="Sí",2,1),IF(AND($D38=0,V$5=$G38),3,""))</f>
        <v/>
      </c>
      <c r="W38" s="75" t="str">
        <f aca="false">IF(AND(W$5&gt;$F38,W$5&lt;=$G38),IF($K38="Sí",2,1),IF(AND($D38=0,W$5=$G38),3,""))</f>
        <v/>
      </c>
      <c r="X38" s="75" t="str">
        <f aca="false">IF(AND(X$5&gt;$F38,X$5&lt;=$G38),IF($K38="Sí",2,1),IF(AND($D38=0,X$5=$G38),3,""))</f>
        <v/>
      </c>
      <c r="Y38" s="75" t="str">
        <f aca="false">IF(AND(Y$5&gt;$F38,Y$5&lt;=$G38),IF($K38="Sí",2,1),IF(AND($D38=0,Y$5=$G38),3,""))</f>
        <v/>
      </c>
      <c r="Z38" s="75" t="str">
        <f aca="false">IF(AND(Z$5&gt;$F38,Z$5&lt;=$G38),IF($K38="Sí",2,1),IF(AND($D38=0,Z$5=$G38),3,""))</f>
        <v/>
      </c>
      <c r="AA38" s="75" t="str">
        <f aca="false">IF(AND(AA$5&gt;$F38,AA$5&lt;=$G38),IF($K38="Sí",2,1),IF(AND($D38=0,AA$5=$G38),3,""))</f>
        <v/>
      </c>
      <c r="AB38" s="75" t="str">
        <f aca="false">IF(AND(AB$5&gt;$F38,AB$5&lt;=$G38),IF($K38="Sí",2,1),IF(AND($D38=0,AB$5=$G38),3,""))</f>
        <v/>
      </c>
      <c r="AC38" s="75" t="str">
        <f aca="false">IF(AND(AC$5&gt;$F38,AC$5&lt;=$G38),IF($K38="Sí",2,1),IF(AND($D38=0,AC$5=$G38),3,""))</f>
        <v/>
      </c>
      <c r="AD38" s="75" t="str">
        <f aca="false">IF(AND(AD$5&gt;$F38,AD$5&lt;=$G38),IF($K38="Sí",2,1),IF(AND($D38=0,AD$5=$G38),3,""))</f>
        <v/>
      </c>
      <c r="AE38" s="75" t="str">
        <f aca="false">IF(AND(AE$5&gt;$F38,AE$5&lt;=$G38),IF($K38="Sí",2,1),IF(AND($D38=0,AE$5=$G38),3,""))</f>
        <v/>
      </c>
      <c r="AF38" s="75" t="str">
        <f aca="false">IF(AND(AF$5&gt;$F38,AF$5&lt;=$G38),IF($K38="Sí",2,1),IF(AND($D38=0,AF$5=$G38),3,""))</f>
        <v/>
      </c>
      <c r="AG38" s="75" t="str">
        <f aca="false">IF(AND(AG$5&gt;$F38,AG$5&lt;=$G38),IF($K38="Sí",2,1),IF(AND($D38=0,AG$5=$G38),3,""))</f>
        <v/>
      </c>
      <c r="AH38" s="75" t="str">
        <f aca="false">IF(AND(AH$5&gt;$F38,AH$5&lt;=$G38),IF($K38="Sí",2,1),IF(AND($D38=0,AH$5=$G38),3,""))</f>
        <v/>
      </c>
      <c r="AI38" s="75" t="str">
        <f aca="false">IF(AND(AI$5&gt;$F38,AI$5&lt;=$G38),IF($K38="Sí",2,1),IF(AND($D38=0,AI$5=$G38),3,""))</f>
        <v/>
      </c>
      <c r="AJ38" s="75" t="str">
        <f aca="false">IF(AND(AJ$5&gt;$F38,AJ$5&lt;=$G38),IF($K38="Sí",2,1),IF(AND($D38=0,AJ$5=$G38),3,""))</f>
        <v/>
      </c>
      <c r="AK38" s="75" t="str">
        <f aca="false">IF(AND(AK$5&gt;$F38,AK$5&lt;=$G38),IF($K38="Sí",2,1),IF(AND($D38=0,AK$5=$G38),3,""))</f>
        <v/>
      </c>
      <c r="AL38" s="75" t="str">
        <f aca="false">IF(AND(AL$5&gt;$F38,AL$5&lt;=$G38),IF($K38="Sí",2,1),IF(AND($D38=0,AL$5=$G38),3,""))</f>
        <v/>
      </c>
      <c r="AM38" s="75" t="str">
        <f aca="false">IF(AND(AM$5&gt;$F38,AM$5&lt;=$G38),IF($K38="Sí",2,1),IF(AND($D38=0,AM$5=$G38),3,""))</f>
        <v/>
      </c>
      <c r="AN38" s="75" t="str">
        <f aca="false">IF(AND(AN$5&gt;$F38,AN$5&lt;=$G38),IF($K38="Sí",2,1),IF(AND($D38=0,AN$5=$G38),3,""))</f>
        <v/>
      </c>
      <c r="AO38" s="75" t="str">
        <f aca="false">IF(AND(AO$5&gt;$F38,AO$5&lt;=$G38),IF($K38="Sí",2,1),IF(AND($D38=0,AO$5=$G38),3,""))</f>
        <v/>
      </c>
      <c r="AP38" s="75" t="str">
        <f aca="false">IF(AND(AP$5&gt;$F38,AP$5&lt;=$G38),IF($K38="Sí",2,1),IF(AND($D38=0,AP$5=$G38),3,""))</f>
        <v/>
      </c>
      <c r="AQ38" s="75" t="str">
        <f aca="false">IF(AND(AQ$5&gt;$F38,AQ$5&lt;=$G38),IF($K38="Sí",2,1),IF(AND($D38=0,AQ$5=$G38),3,""))</f>
        <v/>
      </c>
      <c r="AR38" s="75" t="str">
        <f aca="false">IF(AND(AR$5&gt;$F38,AR$5&lt;=$G38),IF($K38="Sí",2,1),IF(AND($D38=0,AR$5=$G38),3,""))</f>
        <v/>
      </c>
      <c r="AS38" s="75" t="str">
        <f aca="false">IF(AND(AS$5&gt;$F38,AS$5&lt;=$G38),IF($K38="Sí",2,1),IF(AND($D38=0,AS$5=$G38),3,""))</f>
        <v/>
      </c>
      <c r="AT38" s="75" t="str">
        <f aca="false">IF(AND(AT$5&gt;$F38,AT$5&lt;=$G38),IF($K38="Sí",2,1),IF(AND($D38=0,AT$5=$G38),3,""))</f>
        <v/>
      </c>
      <c r="AU38" s="75" t="str">
        <f aca="false">IF(AND(AU$5&gt;$F38,AU$5&lt;=$G38),IF($K38="Sí",2,1),IF(AND($D38=0,AU$5=$G38),3,""))</f>
        <v/>
      </c>
      <c r="AV38" s="75" t="str">
        <f aca="false">IF(AND(AV$5&gt;$F38,AV$5&lt;=$G38),IF($K38="Sí",2,1),IF(AND($D38=0,AV$5=$G38),3,""))</f>
        <v/>
      </c>
      <c r="AW38" s="75" t="str">
        <f aca="false">IF(AND(AW$5&gt;$F38,AW$5&lt;=$G38),IF($K38="Sí",2,1),IF(AND($D38=0,AW$5=$G38),3,""))</f>
        <v/>
      </c>
      <c r="AX38" s="75" t="str">
        <f aca="false">IF(AND(AX$5&gt;$F38,AX$5&lt;=$G38),IF($K38="Sí",2,1),IF(AND($D38=0,AX$5=$G38),3,""))</f>
        <v/>
      </c>
      <c r="AY38" s="75" t="str">
        <f aca="false">IF(AND(AY$5&gt;$F38,AY$5&lt;=$G38),IF($K38="Sí",2,1),IF(AND($D38=0,AY$5=$G38),3,""))</f>
        <v/>
      </c>
      <c r="AZ38" s="75" t="str">
        <f aca="false">IF(AND(AZ$5&gt;$F38,AZ$5&lt;=$G38),IF($K38="Sí",2,1),IF(AND($D38=0,AZ$5=$G38),3,""))</f>
        <v/>
      </c>
      <c r="BA38" s="75" t="str">
        <f aca="false">IF(AND(BA$5&gt;$F38,BA$5&lt;=$G38),IF($K38="Sí",2,1),IF(AND($D38=0,BA$5=$G38),3,""))</f>
        <v/>
      </c>
      <c r="BB38" s="75" t="str">
        <f aca="false">IF(AND(BB$5&gt;$F38,BB$5&lt;=$G38),IF($K38="Sí",2,1),IF(AND($D38=0,BB$5=$G38),3,""))</f>
        <v/>
      </c>
      <c r="BC38" s="75" t="n">
        <f aca="false">IF(AND(BC$5&gt;$F38,BC$5&lt;=$G38),IF($K38="Sí",2,1),IF(AND($D38=0,BC$5=$G38),3,""))</f>
        <v>2</v>
      </c>
      <c r="BD38" s="75" t="n">
        <f aca="false">IF(AND(BD$5&gt;$F38,BD$5&lt;=$G38),IF($K38="Sí",2,1),IF(AND($D38=0,BD$5=$G38),3,""))</f>
        <v>2</v>
      </c>
      <c r="BE38" s="75" t="str">
        <f aca="false">IF(AND(BE$5&gt;$F38,BE$5&lt;=$G38),IF($K38="Sí",2,1),IF(AND($D38=0,BE$5=$G38),3,""))</f>
        <v/>
      </c>
      <c r="BF38" s="75" t="str">
        <f aca="false">IF(AND(BF$5&gt;$F38,BF$5&lt;=$G38),IF($K38="Sí",2,1),IF(AND($D38=0,BF$5=$G38),3,""))</f>
        <v/>
      </c>
      <c r="BG38" s="75" t="str">
        <f aca="false">IF(AND(BG$5&gt;$F38,BG$5&lt;=$G38),IF($K38="Sí",2,1),IF(AND($D38=0,BG$5=$G38),3,""))</f>
        <v/>
      </c>
      <c r="BH38" s="75" t="str">
        <f aca="false">IF(AND(BH$5&gt;$F38,BH$5&lt;=$G38),IF($K38="Sí",2,1),IF(AND($D38=0,BH$5=$G38),3,""))</f>
        <v/>
      </c>
      <c r="BI38" s="75" t="str">
        <f aca="false">IF(AND(BI$5&gt;$F38,BI$5&lt;=$G38),IF($K38="Sí",2,1),IF(AND($D38=0,BI$5=$G38),3,""))</f>
        <v/>
      </c>
      <c r="BJ38" s="75" t="str">
        <f aca="false">IF(AND(BJ$5&gt;$F38,BJ$5&lt;=$G38),IF($K38="Sí",2,1),IF(AND($D38=0,BJ$5=$G38),3,""))</f>
        <v/>
      </c>
      <c r="BK38" s="75" t="str">
        <f aca="false">IF(AND(BK$5&gt;$F38,BK$5&lt;=$G38),IF($K38="Sí",2,1),IF(AND($D38=0,BK$5=$G38),3,""))</f>
        <v/>
      </c>
      <c r="BL38" s="75" t="str">
        <f aca="false">IF(AND(BL$5&gt;$F38,BL$5&lt;=$G38),IF($K38="Sí",2,1),IF(AND($D38=0,BL$5=$G38),3,""))</f>
        <v/>
      </c>
      <c r="BM38" s="75" t="str">
        <f aca="false">IF(AND(BM$5&gt;$F38,BM$5&lt;=$G38),IF($K38="Sí",2,1),IF(AND($D38=0,BM$5=$G38),3,""))</f>
        <v/>
      </c>
      <c r="BN38" s="75" t="str">
        <f aca="false">IF(AND(BN$5&gt;$F38,BN$5&lt;=$G38),IF($K38="Sí",2,1),IF(AND($D38=0,BN$5=$G38),3,""))</f>
        <v/>
      </c>
      <c r="BO38" s="75" t="str">
        <f aca="false">IF(AND(BO$5&gt;$F38,BO$5&lt;=$G38),IF($K38="Sí",2,1),IF(AND($D38=0,BO$5=$G38),3,""))</f>
        <v/>
      </c>
      <c r="BQ38" s="59" t="n">
        <v>37</v>
      </c>
      <c r="BR38" s="59" t="n">
        <v>0</v>
      </c>
      <c r="BS38" s="59" t="n">
        <v>87</v>
      </c>
      <c r="BT38" s="59" t="n">
        <v>69</v>
      </c>
      <c r="BU38" s="59" t="n">
        <v>87</v>
      </c>
      <c r="BV38" s="59" t="n">
        <v>0</v>
      </c>
      <c r="BW38" s="76" t="n">
        <f aca="false">L38-280</f>
        <v>0</v>
      </c>
      <c r="BX38" s="77" t="n">
        <f aca="false">IF($D38=0,0,BQ38/$D38)</f>
        <v>18.5</v>
      </c>
      <c r="BY38" s="77" t="n">
        <f aca="false">IF($D38=0,0,BR38/$D38)</f>
        <v>0</v>
      </c>
      <c r="BZ38" s="77" t="n">
        <f aca="false">IF($D38=0,0,BS38/$D38)</f>
        <v>43.5</v>
      </c>
      <c r="CA38" s="77" t="n">
        <f aca="false">IF($D38=0,0,BT38/$D38)</f>
        <v>34.5</v>
      </c>
      <c r="CB38" s="77" t="n">
        <f aca="false">IF($D38=0,0,BU38/$D38)</f>
        <v>43.5</v>
      </c>
      <c r="CC38" s="77" t="n">
        <f aca="false">IF($D38=0,0,BV38/$D38)</f>
        <v>0</v>
      </c>
    </row>
    <row r="39" customFormat="false" ht="15" hidden="false" customHeight="true" outlineLevel="0" collapsed="false">
      <c r="A39" s="7" t="s">
        <v>1447</v>
      </c>
      <c r="B39" s="7" t="s">
        <v>1448</v>
      </c>
      <c r="C39" s="7" t="s">
        <v>1391</v>
      </c>
      <c r="D39" s="30" t="n">
        <v>2</v>
      </c>
      <c r="E39" s="7" t="s">
        <v>1449</v>
      </c>
      <c r="F39" s="32" t="n">
        <f aca="false">MAX(G37,G20)+Q39</f>
        <v>37</v>
      </c>
      <c r="G39" s="32" t="n">
        <f aca="false">F39+D39</f>
        <v>39</v>
      </c>
      <c r="H39" s="32" t="n">
        <f aca="false">I39-D39</f>
        <v>37</v>
      </c>
      <c r="I39" s="32" t="n">
        <f aca="false">MIN(H40)</f>
        <v>39</v>
      </c>
      <c r="J39" s="32" t="n">
        <f aca="false">H39-F39</f>
        <v>0</v>
      </c>
      <c r="K39" s="71" t="str">
        <f aca="false">IF(J39=0,"Sí","")</f>
        <v>Sí</v>
      </c>
      <c r="L39" s="72" t="n">
        <f aca="false">SUM(BQ39:BV39)</f>
        <v>160</v>
      </c>
      <c r="M39" s="33" t="n">
        <f aca="false">SUMIFS(Cotizaciones!$J$5:$J$70,Cotizaciones!$C$5:$C$70,A39)</f>
        <v>0</v>
      </c>
      <c r="N39" s="32" t="n">
        <f aca="false">(L39*Supuestos!$B$47+M39*(1+Supuestos!$B$50))*(1+Supuestos!$B$51)/(1-Supuestos!$B$52)</f>
        <v>25991902.8340081</v>
      </c>
      <c r="O39" s="73" t="n">
        <f aca="false">$C$3+F39*7</f>
        <v>46657</v>
      </c>
      <c r="P39" s="73" t="n">
        <f aca="false">$C$3+G39*7-IF(D39&gt;0,1,0)</f>
        <v>46670</v>
      </c>
      <c r="Q39" s="74" t="n">
        <v>0</v>
      </c>
      <c r="R39" s="75" t="str">
        <f aca="false">IF(AND(R$5&gt;$F39,R$5&lt;=$G39),IF($K39="Sí",2,1),IF(AND($D39=0,R$5=$G39),3,""))</f>
        <v/>
      </c>
      <c r="S39" s="75" t="str">
        <f aca="false">IF(AND(S$5&gt;$F39,S$5&lt;=$G39),IF($K39="Sí",2,1),IF(AND($D39=0,S$5=$G39),3,""))</f>
        <v/>
      </c>
      <c r="T39" s="75" t="str">
        <f aca="false">IF(AND(T$5&gt;$F39,T$5&lt;=$G39),IF($K39="Sí",2,1),IF(AND($D39=0,T$5=$G39),3,""))</f>
        <v/>
      </c>
      <c r="U39" s="75" t="str">
        <f aca="false">IF(AND(U$5&gt;$F39,U$5&lt;=$G39),IF($K39="Sí",2,1),IF(AND($D39=0,U$5=$G39),3,""))</f>
        <v/>
      </c>
      <c r="V39" s="75" t="str">
        <f aca="false">IF(AND(V$5&gt;$F39,V$5&lt;=$G39),IF($K39="Sí",2,1),IF(AND($D39=0,V$5=$G39),3,""))</f>
        <v/>
      </c>
      <c r="W39" s="75" t="str">
        <f aca="false">IF(AND(W$5&gt;$F39,W$5&lt;=$G39),IF($K39="Sí",2,1),IF(AND($D39=0,W$5=$G39),3,""))</f>
        <v/>
      </c>
      <c r="X39" s="75" t="str">
        <f aca="false">IF(AND(X$5&gt;$F39,X$5&lt;=$G39),IF($K39="Sí",2,1),IF(AND($D39=0,X$5=$G39),3,""))</f>
        <v/>
      </c>
      <c r="Y39" s="75" t="str">
        <f aca="false">IF(AND(Y$5&gt;$F39,Y$5&lt;=$G39),IF($K39="Sí",2,1),IF(AND($D39=0,Y$5=$G39),3,""))</f>
        <v/>
      </c>
      <c r="Z39" s="75" t="str">
        <f aca="false">IF(AND(Z$5&gt;$F39,Z$5&lt;=$G39),IF($K39="Sí",2,1),IF(AND($D39=0,Z$5=$G39),3,""))</f>
        <v/>
      </c>
      <c r="AA39" s="75" t="str">
        <f aca="false">IF(AND(AA$5&gt;$F39,AA$5&lt;=$G39),IF($K39="Sí",2,1),IF(AND($D39=0,AA$5=$G39),3,""))</f>
        <v/>
      </c>
      <c r="AB39" s="75" t="str">
        <f aca="false">IF(AND(AB$5&gt;$F39,AB$5&lt;=$G39),IF($K39="Sí",2,1),IF(AND($D39=0,AB$5=$G39),3,""))</f>
        <v/>
      </c>
      <c r="AC39" s="75" t="str">
        <f aca="false">IF(AND(AC$5&gt;$F39,AC$5&lt;=$G39),IF($K39="Sí",2,1),IF(AND($D39=0,AC$5=$G39),3,""))</f>
        <v/>
      </c>
      <c r="AD39" s="75" t="str">
        <f aca="false">IF(AND(AD$5&gt;$F39,AD$5&lt;=$G39),IF($K39="Sí",2,1),IF(AND($D39=0,AD$5=$G39),3,""))</f>
        <v/>
      </c>
      <c r="AE39" s="75" t="str">
        <f aca="false">IF(AND(AE$5&gt;$F39,AE$5&lt;=$G39),IF($K39="Sí",2,1),IF(AND($D39=0,AE$5=$G39),3,""))</f>
        <v/>
      </c>
      <c r="AF39" s="75" t="str">
        <f aca="false">IF(AND(AF$5&gt;$F39,AF$5&lt;=$G39),IF($K39="Sí",2,1),IF(AND($D39=0,AF$5=$G39),3,""))</f>
        <v/>
      </c>
      <c r="AG39" s="75" t="str">
        <f aca="false">IF(AND(AG$5&gt;$F39,AG$5&lt;=$G39),IF($K39="Sí",2,1),IF(AND($D39=0,AG$5=$G39),3,""))</f>
        <v/>
      </c>
      <c r="AH39" s="75" t="str">
        <f aca="false">IF(AND(AH$5&gt;$F39,AH$5&lt;=$G39),IF($K39="Sí",2,1),IF(AND($D39=0,AH$5=$G39),3,""))</f>
        <v/>
      </c>
      <c r="AI39" s="75" t="str">
        <f aca="false">IF(AND(AI$5&gt;$F39,AI$5&lt;=$G39),IF($K39="Sí",2,1),IF(AND($D39=0,AI$5=$G39),3,""))</f>
        <v/>
      </c>
      <c r="AJ39" s="75" t="str">
        <f aca="false">IF(AND(AJ$5&gt;$F39,AJ$5&lt;=$G39),IF($K39="Sí",2,1),IF(AND($D39=0,AJ$5=$G39),3,""))</f>
        <v/>
      </c>
      <c r="AK39" s="75" t="str">
        <f aca="false">IF(AND(AK$5&gt;$F39,AK$5&lt;=$G39),IF($K39="Sí",2,1),IF(AND($D39=0,AK$5=$G39),3,""))</f>
        <v/>
      </c>
      <c r="AL39" s="75" t="str">
        <f aca="false">IF(AND(AL$5&gt;$F39,AL$5&lt;=$G39),IF($K39="Sí",2,1),IF(AND($D39=0,AL$5=$G39),3,""))</f>
        <v/>
      </c>
      <c r="AM39" s="75" t="str">
        <f aca="false">IF(AND(AM$5&gt;$F39,AM$5&lt;=$G39),IF($K39="Sí",2,1),IF(AND($D39=0,AM$5=$G39),3,""))</f>
        <v/>
      </c>
      <c r="AN39" s="75" t="str">
        <f aca="false">IF(AND(AN$5&gt;$F39,AN$5&lt;=$G39),IF($K39="Sí",2,1),IF(AND($D39=0,AN$5=$G39),3,""))</f>
        <v/>
      </c>
      <c r="AO39" s="75" t="str">
        <f aca="false">IF(AND(AO$5&gt;$F39,AO$5&lt;=$G39),IF($K39="Sí",2,1),IF(AND($D39=0,AO$5=$G39),3,""))</f>
        <v/>
      </c>
      <c r="AP39" s="75" t="str">
        <f aca="false">IF(AND(AP$5&gt;$F39,AP$5&lt;=$G39),IF($K39="Sí",2,1),IF(AND($D39=0,AP$5=$G39),3,""))</f>
        <v/>
      </c>
      <c r="AQ39" s="75" t="str">
        <f aca="false">IF(AND(AQ$5&gt;$F39,AQ$5&lt;=$G39),IF($K39="Sí",2,1),IF(AND($D39=0,AQ$5=$G39),3,""))</f>
        <v/>
      </c>
      <c r="AR39" s="75" t="str">
        <f aca="false">IF(AND(AR$5&gt;$F39,AR$5&lt;=$G39),IF($K39="Sí",2,1),IF(AND($D39=0,AR$5=$G39),3,""))</f>
        <v/>
      </c>
      <c r="AS39" s="75" t="str">
        <f aca="false">IF(AND(AS$5&gt;$F39,AS$5&lt;=$G39),IF($K39="Sí",2,1),IF(AND($D39=0,AS$5=$G39),3,""))</f>
        <v/>
      </c>
      <c r="AT39" s="75" t="str">
        <f aca="false">IF(AND(AT$5&gt;$F39,AT$5&lt;=$G39),IF($K39="Sí",2,1),IF(AND($D39=0,AT$5=$G39),3,""))</f>
        <v/>
      </c>
      <c r="AU39" s="75" t="str">
        <f aca="false">IF(AND(AU$5&gt;$F39,AU$5&lt;=$G39),IF($K39="Sí",2,1),IF(AND($D39=0,AU$5=$G39),3,""))</f>
        <v/>
      </c>
      <c r="AV39" s="75" t="str">
        <f aca="false">IF(AND(AV$5&gt;$F39,AV$5&lt;=$G39),IF($K39="Sí",2,1),IF(AND($D39=0,AV$5=$G39),3,""))</f>
        <v/>
      </c>
      <c r="AW39" s="75" t="str">
        <f aca="false">IF(AND(AW$5&gt;$F39,AW$5&lt;=$G39),IF($K39="Sí",2,1),IF(AND($D39=0,AW$5=$G39),3,""))</f>
        <v/>
      </c>
      <c r="AX39" s="75" t="str">
        <f aca="false">IF(AND(AX$5&gt;$F39,AX$5&lt;=$G39),IF($K39="Sí",2,1),IF(AND($D39=0,AX$5=$G39),3,""))</f>
        <v/>
      </c>
      <c r="AY39" s="75" t="str">
        <f aca="false">IF(AND(AY$5&gt;$F39,AY$5&lt;=$G39),IF($K39="Sí",2,1),IF(AND($D39=0,AY$5=$G39),3,""))</f>
        <v/>
      </c>
      <c r="AZ39" s="75" t="str">
        <f aca="false">IF(AND(AZ$5&gt;$F39,AZ$5&lt;=$G39),IF($K39="Sí",2,1),IF(AND($D39=0,AZ$5=$G39),3,""))</f>
        <v/>
      </c>
      <c r="BA39" s="75" t="str">
        <f aca="false">IF(AND(BA$5&gt;$F39,BA$5&lt;=$G39),IF($K39="Sí",2,1),IF(AND($D39=0,BA$5=$G39),3,""))</f>
        <v/>
      </c>
      <c r="BB39" s="75" t="str">
        <f aca="false">IF(AND(BB$5&gt;$F39,BB$5&lt;=$G39),IF($K39="Sí",2,1),IF(AND($D39=0,BB$5=$G39),3,""))</f>
        <v/>
      </c>
      <c r="BC39" s="75" t="n">
        <f aca="false">IF(AND(BC$5&gt;$F39,BC$5&lt;=$G39),IF($K39="Sí",2,1),IF(AND($D39=0,BC$5=$G39),3,""))</f>
        <v>2</v>
      </c>
      <c r="BD39" s="75" t="n">
        <f aca="false">IF(AND(BD$5&gt;$F39,BD$5&lt;=$G39),IF($K39="Sí",2,1),IF(AND($D39=0,BD$5=$G39),3,""))</f>
        <v>2</v>
      </c>
      <c r="BE39" s="75" t="str">
        <f aca="false">IF(AND(BE$5&gt;$F39,BE$5&lt;=$G39),IF($K39="Sí",2,1),IF(AND($D39=0,BE$5=$G39),3,""))</f>
        <v/>
      </c>
      <c r="BF39" s="75" t="str">
        <f aca="false">IF(AND(BF$5&gt;$F39,BF$5&lt;=$G39),IF($K39="Sí",2,1),IF(AND($D39=0,BF$5=$G39),3,""))</f>
        <v/>
      </c>
      <c r="BG39" s="75" t="str">
        <f aca="false">IF(AND(BG$5&gt;$F39,BG$5&lt;=$G39),IF($K39="Sí",2,1),IF(AND($D39=0,BG$5=$G39),3,""))</f>
        <v/>
      </c>
      <c r="BH39" s="75" t="str">
        <f aca="false">IF(AND(BH$5&gt;$F39,BH$5&lt;=$G39),IF($K39="Sí",2,1),IF(AND($D39=0,BH$5=$G39),3,""))</f>
        <v/>
      </c>
      <c r="BI39" s="75" t="str">
        <f aca="false">IF(AND(BI$5&gt;$F39,BI$5&lt;=$G39),IF($K39="Sí",2,1),IF(AND($D39=0,BI$5=$G39),3,""))</f>
        <v/>
      </c>
      <c r="BJ39" s="75" t="str">
        <f aca="false">IF(AND(BJ$5&gt;$F39,BJ$5&lt;=$G39),IF($K39="Sí",2,1),IF(AND($D39=0,BJ$5=$G39),3,""))</f>
        <v/>
      </c>
      <c r="BK39" s="75" t="str">
        <f aca="false">IF(AND(BK$5&gt;$F39,BK$5&lt;=$G39),IF($K39="Sí",2,1),IF(AND($D39=0,BK$5=$G39),3,""))</f>
        <v/>
      </c>
      <c r="BL39" s="75" t="str">
        <f aca="false">IF(AND(BL$5&gt;$F39,BL$5&lt;=$G39),IF($K39="Sí",2,1),IF(AND($D39=0,BL$5=$G39),3,""))</f>
        <v/>
      </c>
      <c r="BM39" s="75" t="str">
        <f aca="false">IF(AND(BM$5&gt;$F39,BM$5&lt;=$G39),IF($K39="Sí",2,1),IF(AND($D39=0,BM$5=$G39),3,""))</f>
        <v/>
      </c>
      <c r="BN39" s="75" t="str">
        <f aca="false">IF(AND(BN$5&gt;$F39,BN$5&lt;=$G39),IF($K39="Sí",2,1),IF(AND($D39=0,BN$5=$G39),3,""))</f>
        <v/>
      </c>
      <c r="BO39" s="75" t="str">
        <f aca="false">IF(AND(BO$5&gt;$F39,BO$5&lt;=$G39),IF($K39="Sí",2,1),IF(AND($D39=0,BO$5=$G39),3,""))</f>
        <v/>
      </c>
      <c r="BQ39" s="59" t="n">
        <v>0</v>
      </c>
      <c r="BR39" s="59" t="n">
        <v>87</v>
      </c>
      <c r="BS39" s="59" t="n">
        <v>0</v>
      </c>
      <c r="BT39" s="59" t="n">
        <v>19</v>
      </c>
      <c r="BU39" s="59" t="n">
        <v>0</v>
      </c>
      <c r="BV39" s="59" t="n">
        <v>54</v>
      </c>
      <c r="BW39" s="76" t="n">
        <f aca="false">L39-160</f>
        <v>0</v>
      </c>
      <c r="BX39" s="77" t="n">
        <f aca="false">IF($D39=0,0,BQ39/$D39)</f>
        <v>0</v>
      </c>
      <c r="BY39" s="77" t="n">
        <f aca="false">IF($D39=0,0,BR39/$D39)</f>
        <v>43.5</v>
      </c>
      <c r="BZ39" s="77" t="n">
        <f aca="false">IF($D39=0,0,BS39/$D39)</f>
        <v>0</v>
      </c>
      <c r="CA39" s="77" t="n">
        <f aca="false">IF($D39=0,0,BT39/$D39)</f>
        <v>9.5</v>
      </c>
      <c r="CB39" s="77" t="n">
        <f aca="false">IF($D39=0,0,BU39/$D39)</f>
        <v>0</v>
      </c>
      <c r="CC39" s="77" t="n">
        <f aca="false">IF($D39=0,0,BV39/$D39)</f>
        <v>27</v>
      </c>
    </row>
    <row r="40" customFormat="false" ht="15" hidden="false" customHeight="true" outlineLevel="0" collapsed="false">
      <c r="A40" s="7" t="s">
        <v>1450</v>
      </c>
      <c r="B40" s="7" t="s">
        <v>1451</v>
      </c>
      <c r="C40" s="7" t="s">
        <v>1388</v>
      </c>
      <c r="D40" s="30" t="n">
        <v>6</v>
      </c>
      <c r="E40" s="7" t="s">
        <v>1452</v>
      </c>
      <c r="F40" s="32" t="n">
        <f aca="false">MAX(G38,G39)+Q40</f>
        <v>39</v>
      </c>
      <c r="G40" s="32" t="n">
        <f aca="false">F40+D40</f>
        <v>45</v>
      </c>
      <c r="H40" s="32" t="n">
        <f aca="false">I40-D40</f>
        <v>39</v>
      </c>
      <c r="I40" s="32" t="n">
        <f aca="false">MIN(H42)</f>
        <v>45</v>
      </c>
      <c r="J40" s="32" t="n">
        <f aca="false">H40-F40</f>
        <v>0</v>
      </c>
      <c r="K40" s="71" t="str">
        <f aca="false">IF(J40=0,"Sí","")</f>
        <v>Sí</v>
      </c>
      <c r="L40" s="72" t="n">
        <f aca="false">SUM(BQ40:BV40)</f>
        <v>320</v>
      </c>
      <c r="M40" s="33" t="n">
        <f aca="false">SUMIFS(Cotizaciones!$J$5:$J$70,Cotizaciones!$C$5:$C$70,A40)</f>
        <v>0</v>
      </c>
      <c r="N40" s="32" t="n">
        <f aca="false">(L40*Supuestos!$B$47+M40*(1+Supuestos!$B$50))*(1+Supuestos!$B$51)/(1-Supuestos!$B$52)</f>
        <v>51983805.6680162</v>
      </c>
      <c r="O40" s="73" t="n">
        <f aca="false">$C$3+F40*7</f>
        <v>46671</v>
      </c>
      <c r="P40" s="73" t="n">
        <f aca="false">$C$3+G40*7-IF(D40&gt;0,1,0)</f>
        <v>46712</v>
      </c>
      <c r="Q40" s="74" t="n">
        <v>0</v>
      </c>
      <c r="R40" s="75" t="str">
        <f aca="false">IF(AND(R$5&gt;$F40,R$5&lt;=$G40),IF($K40="Sí",2,1),IF(AND($D40=0,R$5=$G40),3,""))</f>
        <v/>
      </c>
      <c r="S40" s="75" t="str">
        <f aca="false">IF(AND(S$5&gt;$F40,S$5&lt;=$G40),IF($K40="Sí",2,1),IF(AND($D40=0,S$5=$G40),3,""))</f>
        <v/>
      </c>
      <c r="T40" s="75" t="str">
        <f aca="false">IF(AND(T$5&gt;$F40,T$5&lt;=$G40),IF($K40="Sí",2,1),IF(AND($D40=0,T$5=$G40),3,""))</f>
        <v/>
      </c>
      <c r="U40" s="75" t="str">
        <f aca="false">IF(AND(U$5&gt;$F40,U$5&lt;=$G40),IF($K40="Sí",2,1),IF(AND($D40=0,U$5=$G40),3,""))</f>
        <v/>
      </c>
      <c r="V40" s="75" t="str">
        <f aca="false">IF(AND(V$5&gt;$F40,V$5&lt;=$G40),IF($K40="Sí",2,1),IF(AND($D40=0,V$5=$G40),3,""))</f>
        <v/>
      </c>
      <c r="W40" s="75" t="str">
        <f aca="false">IF(AND(W$5&gt;$F40,W$5&lt;=$G40),IF($K40="Sí",2,1),IF(AND($D40=0,W$5=$G40),3,""))</f>
        <v/>
      </c>
      <c r="X40" s="75" t="str">
        <f aca="false">IF(AND(X$5&gt;$F40,X$5&lt;=$G40),IF($K40="Sí",2,1),IF(AND($D40=0,X$5=$G40),3,""))</f>
        <v/>
      </c>
      <c r="Y40" s="75" t="str">
        <f aca="false">IF(AND(Y$5&gt;$F40,Y$5&lt;=$G40),IF($K40="Sí",2,1),IF(AND($D40=0,Y$5=$G40),3,""))</f>
        <v/>
      </c>
      <c r="Z40" s="75" t="str">
        <f aca="false">IF(AND(Z$5&gt;$F40,Z$5&lt;=$G40),IF($K40="Sí",2,1),IF(AND($D40=0,Z$5=$G40),3,""))</f>
        <v/>
      </c>
      <c r="AA40" s="75" t="str">
        <f aca="false">IF(AND(AA$5&gt;$F40,AA$5&lt;=$G40),IF($K40="Sí",2,1),IF(AND($D40=0,AA$5=$G40),3,""))</f>
        <v/>
      </c>
      <c r="AB40" s="75" t="str">
        <f aca="false">IF(AND(AB$5&gt;$F40,AB$5&lt;=$G40),IF($K40="Sí",2,1),IF(AND($D40=0,AB$5=$G40),3,""))</f>
        <v/>
      </c>
      <c r="AC40" s="75" t="str">
        <f aca="false">IF(AND(AC$5&gt;$F40,AC$5&lt;=$G40),IF($K40="Sí",2,1),IF(AND($D40=0,AC$5=$G40),3,""))</f>
        <v/>
      </c>
      <c r="AD40" s="75" t="str">
        <f aca="false">IF(AND(AD$5&gt;$F40,AD$5&lt;=$G40),IF($K40="Sí",2,1),IF(AND($D40=0,AD$5=$G40),3,""))</f>
        <v/>
      </c>
      <c r="AE40" s="75" t="str">
        <f aca="false">IF(AND(AE$5&gt;$F40,AE$5&lt;=$G40),IF($K40="Sí",2,1),IF(AND($D40=0,AE$5=$G40),3,""))</f>
        <v/>
      </c>
      <c r="AF40" s="75" t="str">
        <f aca="false">IF(AND(AF$5&gt;$F40,AF$5&lt;=$G40),IF($K40="Sí",2,1),IF(AND($D40=0,AF$5=$G40),3,""))</f>
        <v/>
      </c>
      <c r="AG40" s="75" t="str">
        <f aca="false">IF(AND(AG$5&gt;$F40,AG$5&lt;=$G40),IF($K40="Sí",2,1),IF(AND($D40=0,AG$5=$G40),3,""))</f>
        <v/>
      </c>
      <c r="AH40" s="75" t="str">
        <f aca="false">IF(AND(AH$5&gt;$F40,AH$5&lt;=$G40),IF($K40="Sí",2,1),IF(AND($D40=0,AH$5=$G40),3,""))</f>
        <v/>
      </c>
      <c r="AI40" s="75" t="str">
        <f aca="false">IF(AND(AI$5&gt;$F40,AI$5&lt;=$G40),IF($K40="Sí",2,1),IF(AND($D40=0,AI$5=$G40),3,""))</f>
        <v/>
      </c>
      <c r="AJ40" s="75" t="str">
        <f aca="false">IF(AND(AJ$5&gt;$F40,AJ$5&lt;=$G40),IF($K40="Sí",2,1),IF(AND($D40=0,AJ$5=$G40),3,""))</f>
        <v/>
      </c>
      <c r="AK40" s="75" t="str">
        <f aca="false">IF(AND(AK$5&gt;$F40,AK$5&lt;=$G40),IF($K40="Sí",2,1),IF(AND($D40=0,AK$5=$G40),3,""))</f>
        <v/>
      </c>
      <c r="AL40" s="75" t="str">
        <f aca="false">IF(AND(AL$5&gt;$F40,AL$5&lt;=$G40),IF($K40="Sí",2,1),IF(AND($D40=0,AL$5=$G40),3,""))</f>
        <v/>
      </c>
      <c r="AM40" s="75" t="str">
        <f aca="false">IF(AND(AM$5&gt;$F40,AM$5&lt;=$G40),IF($K40="Sí",2,1),IF(AND($D40=0,AM$5=$G40),3,""))</f>
        <v/>
      </c>
      <c r="AN40" s="75" t="str">
        <f aca="false">IF(AND(AN$5&gt;$F40,AN$5&lt;=$G40),IF($K40="Sí",2,1),IF(AND($D40=0,AN$5=$G40),3,""))</f>
        <v/>
      </c>
      <c r="AO40" s="75" t="str">
        <f aca="false">IF(AND(AO$5&gt;$F40,AO$5&lt;=$G40),IF($K40="Sí",2,1),IF(AND($D40=0,AO$5=$G40),3,""))</f>
        <v/>
      </c>
      <c r="AP40" s="75" t="str">
        <f aca="false">IF(AND(AP$5&gt;$F40,AP$5&lt;=$G40),IF($K40="Sí",2,1),IF(AND($D40=0,AP$5=$G40),3,""))</f>
        <v/>
      </c>
      <c r="AQ40" s="75" t="str">
        <f aca="false">IF(AND(AQ$5&gt;$F40,AQ$5&lt;=$G40),IF($K40="Sí",2,1),IF(AND($D40=0,AQ$5=$G40),3,""))</f>
        <v/>
      </c>
      <c r="AR40" s="75" t="str">
        <f aca="false">IF(AND(AR$5&gt;$F40,AR$5&lt;=$G40),IF($K40="Sí",2,1),IF(AND($D40=0,AR$5=$G40),3,""))</f>
        <v/>
      </c>
      <c r="AS40" s="75" t="str">
        <f aca="false">IF(AND(AS$5&gt;$F40,AS$5&lt;=$G40),IF($K40="Sí",2,1),IF(AND($D40=0,AS$5=$G40),3,""))</f>
        <v/>
      </c>
      <c r="AT40" s="75" t="str">
        <f aca="false">IF(AND(AT$5&gt;$F40,AT$5&lt;=$G40),IF($K40="Sí",2,1),IF(AND($D40=0,AT$5=$G40),3,""))</f>
        <v/>
      </c>
      <c r="AU40" s="75" t="str">
        <f aca="false">IF(AND(AU$5&gt;$F40,AU$5&lt;=$G40),IF($K40="Sí",2,1),IF(AND($D40=0,AU$5=$G40),3,""))</f>
        <v/>
      </c>
      <c r="AV40" s="75" t="str">
        <f aca="false">IF(AND(AV$5&gt;$F40,AV$5&lt;=$G40),IF($K40="Sí",2,1),IF(AND($D40=0,AV$5=$G40),3,""))</f>
        <v/>
      </c>
      <c r="AW40" s="75" t="str">
        <f aca="false">IF(AND(AW$5&gt;$F40,AW$5&lt;=$G40),IF($K40="Sí",2,1),IF(AND($D40=0,AW$5=$G40),3,""))</f>
        <v/>
      </c>
      <c r="AX40" s="75" t="str">
        <f aca="false">IF(AND(AX$5&gt;$F40,AX$5&lt;=$G40),IF($K40="Sí",2,1),IF(AND($D40=0,AX$5=$G40),3,""))</f>
        <v/>
      </c>
      <c r="AY40" s="75" t="str">
        <f aca="false">IF(AND(AY$5&gt;$F40,AY$5&lt;=$G40),IF($K40="Sí",2,1),IF(AND($D40=0,AY$5=$G40),3,""))</f>
        <v/>
      </c>
      <c r="AZ40" s="75" t="str">
        <f aca="false">IF(AND(AZ$5&gt;$F40,AZ$5&lt;=$G40),IF($K40="Sí",2,1),IF(AND($D40=0,AZ$5=$G40),3,""))</f>
        <v/>
      </c>
      <c r="BA40" s="75" t="str">
        <f aca="false">IF(AND(BA$5&gt;$F40,BA$5&lt;=$G40),IF($K40="Sí",2,1),IF(AND($D40=0,BA$5=$G40),3,""))</f>
        <v/>
      </c>
      <c r="BB40" s="75" t="str">
        <f aca="false">IF(AND(BB$5&gt;$F40,BB$5&lt;=$G40),IF($K40="Sí",2,1),IF(AND($D40=0,BB$5=$G40),3,""))</f>
        <v/>
      </c>
      <c r="BC40" s="75" t="str">
        <f aca="false">IF(AND(BC$5&gt;$F40,BC$5&lt;=$G40),IF($K40="Sí",2,1),IF(AND($D40=0,BC$5=$G40),3,""))</f>
        <v/>
      </c>
      <c r="BD40" s="75" t="str">
        <f aca="false">IF(AND(BD$5&gt;$F40,BD$5&lt;=$G40),IF($K40="Sí",2,1),IF(AND($D40=0,BD$5=$G40),3,""))</f>
        <v/>
      </c>
      <c r="BE40" s="75" t="n">
        <f aca="false">IF(AND(BE$5&gt;$F40,BE$5&lt;=$G40),IF($K40="Sí",2,1),IF(AND($D40=0,BE$5=$G40),3,""))</f>
        <v>2</v>
      </c>
      <c r="BF40" s="75" t="n">
        <f aca="false">IF(AND(BF$5&gt;$F40,BF$5&lt;=$G40),IF($K40="Sí",2,1),IF(AND($D40=0,BF$5=$G40),3,""))</f>
        <v>2</v>
      </c>
      <c r="BG40" s="75" t="n">
        <f aca="false">IF(AND(BG$5&gt;$F40,BG$5&lt;=$G40),IF($K40="Sí",2,1),IF(AND($D40=0,BG$5=$G40),3,""))</f>
        <v>2</v>
      </c>
      <c r="BH40" s="75" t="n">
        <f aca="false">IF(AND(BH$5&gt;$F40,BH$5&lt;=$G40),IF($K40="Sí",2,1),IF(AND($D40=0,BH$5=$G40),3,""))</f>
        <v>2</v>
      </c>
      <c r="BI40" s="75" t="n">
        <f aca="false">IF(AND(BI$5&gt;$F40,BI$5&lt;=$G40),IF($K40="Sí",2,1),IF(AND($D40=0,BI$5=$G40),3,""))</f>
        <v>2</v>
      </c>
      <c r="BJ40" s="75" t="n">
        <f aca="false">IF(AND(BJ$5&gt;$F40,BJ$5&lt;=$G40),IF($K40="Sí",2,1),IF(AND($D40=0,BJ$5=$G40),3,""))</f>
        <v>2</v>
      </c>
      <c r="BK40" s="75" t="str">
        <f aca="false">IF(AND(BK$5&gt;$F40,BK$5&lt;=$G40),IF($K40="Sí",2,1),IF(AND($D40=0,BK$5=$G40),3,""))</f>
        <v/>
      </c>
      <c r="BL40" s="75" t="str">
        <f aca="false">IF(AND(BL$5&gt;$F40,BL$5&lt;=$G40),IF($K40="Sí",2,1),IF(AND($D40=0,BL$5=$G40),3,""))</f>
        <v/>
      </c>
      <c r="BM40" s="75" t="str">
        <f aca="false">IF(AND(BM$5&gt;$F40,BM$5&lt;=$G40),IF($K40="Sí",2,1),IF(AND($D40=0,BM$5=$G40),3,""))</f>
        <v/>
      </c>
      <c r="BN40" s="75" t="str">
        <f aca="false">IF(AND(BN$5&gt;$F40,BN$5&lt;=$G40),IF($K40="Sí",2,1),IF(AND($D40=0,BN$5=$G40),3,""))</f>
        <v/>
      </c>
      <c r="BO40" s="75" t="str">
        <f aca="false">IF(AND(BO$5&gt;$F40,BO$5&lt;=$G40),IF($K40="Sí",2,1),IF(AND($D40=0,BO$5=$G40),3,""))</f>
        <v/>
      </c>
      <c r="BQ40" s="59" t="n">
        <v>0</v>
      </c>
      <c r="BR40" s="59" t="n">
        <v>0</v>
      </c>
      <c r="BS40" s="59" t="n">
        <v>0</v>
      </c>
      <c r="BT40" s="59" t="n">
        <v>262</v>
      </c>
      <c r="BU40" s="59" t="n">
        <v>58</v>
      </c>
      <c r="BV40" s="59" t="n">
        <v>0</v>
      </c>
      <c r="BW40" s="76" t="n">
        <f aca="false">L40-320</f>
        <v>0</v>
      </c>
      <c r="BX40" s="77" t="n">
        <f aca="false">IF($D40=0,0,BQ40/$D40)</f>
        <v>0</v>
      </c>
      <c r="BY40" s="77" t="n">
        <f aca="false">IF($D40=0,0,BR40/$D40)</f>
        <v>0</v>
      </c>
      <c r="BZ40" s="77" t="n">
        <f aca="false">IF($D40=0,0,BS40/$D40)</f>
        <v>0</v>
      </c>
      <c r="CA40" s="77" t="n">
        <f aca="false">IF($D40=0,0,BT40/$D40)</f>
        <v>43.6666666666667</v>
      </c>
      <c r="CB40" s="77" t="n">
        <f aca="false">IF($D40=0,0,BU40/$D40)</f>
        <v>9.66666666666667</v>
      </c>
      <c r="CC40" s="77" t="n">
        <f aca="false">IF($D40=0,0,BV40/$D40)</f>
        <v>0</v>
      </c>
    </row>
    <row r="41" customFormat="false" ht="15" hidden="false" customHeight="true" outlineLevel="0" collapsed="false">
      <c r="A41" s="7" t="s">
        <v>1453</v>
      </c>
      <c r="B41" s="7" t="s">
        <v>1454</v>
      </c>
      <c r="C41" s="7" t="s">
        <v>1385</v>
      </c>
      <c r="D41" s="30" t="n">
        <v>3</v>
      </c>
      <c r="E41" s="7" t="s">
        <v>1442</v>
      </c>
      <c r="F41" s="32" t="n">
        <f aca="false">MAX(G37)+Q41</f>
        <v>39</v>
      </c>
      <c r="G41" s="32" t="n">
        <f aca="false">F41+D41</f>
        <v>42</v>
      </c>
      <c r="H41" s="32" t="n">
        <f aca="false">I41-D41</f>
        <v>44</v>
      </c>
      <c r="I41" s="32" t="n">
        <f aca="false">MIN(H43)</f>
        <v>47</v>
      </c>
      <c r="J41" s="32" t="n">
        <f aca="false">H41-F41</f>
        <v>5</v>
      </c>
      <c r="K41" s="71" t="str">
        <f aca="false">IF(J41=0,"Sí","")</f>
        <v/>
      </c>
      <c r="L41" s="72" t="n">
        <f aca="false">SUM(BQ41:BV41)</f>
        <v>240</v>
      </c>
      <c r="M41" s="33" t="n">
        <f aca="false">SUMIFS(Cotizaciones!$J$5:$J$70,Cotizaciones!$C$5:$C$70,A41)</f>
        <v>0</v>
      </c>
      <c r="N41" s="32" t="n">
        <f aca="false">(L41*Supuestos!$B$47+M41*(1+Supuestos!$B$50))*(1+Supuestos!$B$51)/(1-Supuestos!$B$52)</f>
        <v>38987854.2510122</v>
      </c>
      <c r="O41" s="73" t="n">
        <f aca="false">$C$3+F41*7</f>
        <v>46671</v>
      </c>
      <c r="P41" s="73" t="n">
        <f aca="false">$C$3+G41*7-IF(D41&gt;0,1,0)</f>
        <v>46691</v>
      </c>
      <c r="Q41" s="74" t="n">
        <v>2</v>
      </c>
      <c r="R41" s="75" t="str">
        <f aca="false">IF(AND(R$5&gt;$F41,R$5&lt;=$G41),IF($K41="Sí",2,1),IF(AND($D41=0,R$5=$G41),3,""))</f>
        <v/>
      </c>
      <c r="S41" s="75" t="str">
        <f aca="false">IF(AND(S$5&gt;$F41,S$5&lt;=$G41),IF($K41="Sí",2,1),IF(AND($D41=0,S$5=$G41),3,""))</f>
        <v/>
      </c>
      <c r="T41" s="75" t="str">
        <f aca="false">IF(AND(T$5&gt;$F41,T$5&lt;=$G41),IF($K41="Sí",2,1),IF(AND($D41=0,T$5=$G41),3,""))</f>
        <v/>
      </c>
      <c r="U41" s="75" t="str">
        <f aca="false">IF(AND(U$5&gt;$F41,U$5&lt;=$G41),IF($K41="Sí",2,1),IF(AND($D41=0,U$5=$G41),3,""))</f>
        <v/>
      </c>
      <c r="V41" s="75" t="str">
        <f aca="false">IF(AND(V$5&gt;$F41,V$5&lt;=$G41),IF($K41="Sí",2,1),IF(AND($D41=0,V$5=$G41),3,""))</f>
        <v/>
      </c>
      <c r="W41" s="75" t="str">
        <f aca="false">IF(AND(W$5&gt;$F41,W$5&lt;=$G41),IF($K41="Sí",2,1),IF(AND($D41=0,W$5=$G41),3,""))</f>
        <v/>
      </c>
      <c r="X41" s="75" t="str">
        <f aca="false">IF(AND(X$5&gt;$F41,X$5&lt;=$G41),IF($K41="Sí",2,1),IF(AND($D41=0,X$5=$G41),3,""))</f>
        <v/>
      </c>
      <c r="Y41" s="75" t="str">
        <f aca="false">IF(AND(Y$5&gt;$F41,Y$5&lt;=$G41),IF($K41="Sí",2,1),IF(AND($D41=0,Y$5=$G41),3,""))</f>
        <v/>
      </c>
      <c r="Z41" s="75" t="str">
        <f aca="false">IF(AND(Z$5&gt;$F41,Z$5&lt;=$G41),IF($K41="Sí",2,1),IF(AND($D41=0,Z$5=$G41),3,""))</f>
        <v/>
      </c>
      <c r="AA41" s="75" t="str">
        <f aca="false">IF(AND(AA$5&gt;$F41,AA$5&lt;=$G41),IF($K41="Sí",2,1),IF(AND($D41=0,AA$5=$G41),3,""))</f>
        <v/>
      </c>
      <c r="AB41" s="75" t="str">
        <f aca="false">IF(AND(AB$5&gt;$F41,AB$5&lt;=$G41),IF($K41="Sí",2,1),IF(AND($D41=0,AB$5=$G41),3,""))</f>
        <v/>
      </c>
      <c r="AC41" s="75" t="str">
        <f aca="false">IF(AND(AC$5&gt;$F41,AC$5&lt;=$G41),IF($K41="Sí",2,1),IF(AND($D41=0,AC$5=$G41),3,""))</f>
        <v/>
      </c>
      <c r="AD41" s="75" t="str">
        <f aca="false">IF(AND(AD$5&gt;$F41,AD$5&lt;=$G41),IF($K41="Sí",2,1),IF(AND($D41=0,AD$5=$G41),3,""))</f>
        <v/>
      </c>
      <c r="AE41" s="75" t="str">
        <f aca="false">IF(AND(AE$5&gt;$F41,AE$5&lt;=$G41),IF($K41="Sí",2,1),IF(AND($D41=0,AE$5=$G41),3,""))</f>
        <v/>
      </c>
      <c r="AF41" s="75" t="str">
        <f aca="false">IF(AND(AF$5&gt;$F41,AF$5&lt;=$G41),IF($K41="Sí",2,1),IF(AND($D41=0,AF$5=$G41),3,""))</f>
        <v/>
      </c>
      <c r="AG41" s="75" t="str">
        <f aca="false">IF(AND(AG$5&gt;$F41,AG$5&lt;=$G41),IF($K41="Sí",2,1),IF(AND($D41=0,AG$5=$G41),3,""))</f>
        <v/>
      </c>
      <c r="AH41" s="75" t="str">
        <f aca="false">IF(AND(AH$5&gt;$F41,AH$5&lt;=$G41),IF($K41="Sí",2,1),IF(AND($D41=0,AH$5=$G41),3,""))</f>
        <v/>
      </c>
      <c r="AI41" s="75" t="str">
        <f aca="false">IF(AND(AI$5&gt;$F41,AI$5&lt;=$G41),IF($K41="Sí",2,1),IF(AND($D41=0,AI$5=$G41),3,""))</f>
        <v/>
      </c>
      <c r="AJ41" s="75" t="str">
        <f aca="false">IF(AND(AJ$5&gt;$F41,AJ$5&lt;=$G41),IF($K41="Sí",2,1),IF(AND($D41=0,AJ$5=$G41),3,""))</f>
        <v/>
      </c>
      <c r="AK41" s="75" t="str">
        <f aca="false">IF(AND(AK$5&gt;$F41,AK$5&lt;=$G41),IF($K41="Sí",2,1),IF(AND($D41=0,AK$5=$G41),3,""))</f>
        <v/>
      </c>
      <c r="AL41" s="75" t="str">
        <f aca="false">IF(AND(AL$5&gt;$F41,AL$5&lt;=$G41),IF($K41="Sí",2,1),IF(AND($D41=0,AL$5=$G41),3,""))</f>
        <v/>
      </c>
      <c r="AM41" s="75" t="str">
        <f aca="false">IF(AND(AM$5&gt;$F41,AM$5&lt;=$G41),IF($K41="Sí",2,1),IF(AND($D41=0,AM$5=$G41),3,""))</f>
        <v/>
      </c>
      <c r="AN41" s="75" t="str">
        <f aca="false">IF(AND(AN$5&gt;$F41,AN$5&lt;=$G41),IF($K41="Sí",2,1),IF(AND($D41=0,AN$5=$G41),3,""))</f>
        <v/>
      </c>
      <c r="AO41" s="75" t="str">
        <f aca="false">IF(AND(AO$5&gt;$F41,AO$5&lt;=$G41),IF($K41="Sí",2,1),IF(AND($D41=0,AO$5=$G41),3,""))</f>
        <v/>
      </c>
      <c r="AP41" s="75" t="str">
        <f aca="false">IF(AND(AP$5&gt;$F41,AP$5&lt;=$G41),IF($K41="Sí",2,1),IF(AND($D41=0,AP$5=$G41),3,""))</f>
        <v/>
      </c>
      <c r="AQ41" s="75" t="str">
        <f aca="false">IF(AND(AQ$5&gt;$F41,AQ$5&lt;=$G41),IF($K41="Sí",2,1),IF(AND($D41=0,AQ$5=$G41),3,""))</f>
        <v/>
      </c>
      <c r="AR41" s="75" t="str">
        <f aca="false">IF(AND(AR$5&gt;$F41,AR$5&lt;=$G41),IF($K41="Sí",2,1),IF(AND($D41=0,AR$5=$G41),3,""))</f>
        <v/>
      </c>
      <c r="AS41" s="75" t="str">
        <f aca="false">IF(AND(AS$5&gt;$F41,AS$5&lt;=$G41),IF($K41="Sí",2,1),IF(AND($D41=0,AS$5=$G41),3,""))</f>
        <v/>
      </c>
      <c r="AT41" s="75" t="str">
        <f aca="false">IF(AND(AT$5&gt;$F41,AT$5&lt;=$G41),IF($K41="Sí",2,1),IF(AND($D41=0,AT$5=$G41),3,""))</f>
        <v/>
      </c>
      <c r="AU41" s="75" t="str">
        <f aca="false">IF(AND(AU$5&gt;$F41,AU$5&lt;=$G41),IF($K41="Sí",2,1),IF(AND($D41=0,AU$5=$G41),3,""))</f>
        <v/>
      </c>
      <c r="AV41" s="75" t="str">
        <f aca="false">IF(AND(AV$5&gt;$F41,AV$5&lt;=$G41),IF($K41="Sí",2,1),IF(AND($D41=0,AV$5=$G41),3,""))</f>
        <v/>
      </c>
      <c r="AW41" s="75" t="str">
        <f aca="false">IF(AND(AW$5&gt;$F41,AW$5&lt;=$G41),IF($K41="Sí",2,1),IF(AND($D41=0,AW$5=$G41),3,""))</f>
        <v/>
      </c>
      <c r="AX41" s="75" t="str">
        <f aca="false">IF(AND(AX$5&gt;$F41,AX$5&lt;=$G41),IF($K41="Sí",2,1),IF(AND($D41=0,AX$5=$G41),3,""))</f>
        <v/>
      </c>
      <c r="AY41" s="75" t="str">
        <f aca="false">IF(AND(AY$5&gt;$F41,AY$5&lt;=$G41),IF($K41="Sí",2,1),IF(AND($D41=0,AY$5=$G41),3,""))</f>
        <v/>
      </c>
      <c r="AZ41" s="75" t="str">
        <f aca="false">IF(AND(AZ$5&gt;$F41,AZ$5&lt;=$G41),IF($K41="Sí",2,1),IF(AND($D41=0,AZ$5=$G41),3,""))</f>
        <v/>
      </c>
      <c r="BA41" s="75" t="str">
        <f aca="false">IF(AND(BA$5&gt;$F41,BA$5&lt;=$G41),IF($K41="Sí",2,1),IF(AND($D41=0,BA$5=$G41),3,""))</f>
        <v/>
      </c>
      <c r="BB41" s="75" t="str">
        <f aca="false">IF(AND(BB$5&gt;$F41,BB$5&lt;=$G41),IF($K41="Sí",2,1),IF(AND($D41=0,BB$5=$G41),3,""))</f>
        <v/>
      </c>
      <c r="BC41" s="75" t="str">
        <f aca="false">IF(AND(BC$5&gt;$F41,BC$5&lt;=$G41),IF($K41="Sí",2,1),IF(AND($D41=0,BC$5=$G41),3,""))</f>
        <v/>
      </c>
      <c r="BD41" s="75" t="str">
        <f aca="false">IF(AND(BD$5&gt;$F41,BD$5&lt;=$G41),IF($K41="Sí",2,1),IF(AND($D41=0,BD$5=$G41),3,""))</f>
        <v/>
      </c>
      <c r="BE41" s="75" t="n">
        <f aca="false">IF(AND(BE$5&gt;$F41,BE$5&lt;=$G41),IF($K41="Sí",2,1),IF(AND($D41=0,BE$5=$G41),3,""))</f>
        <v>1</v>
      </c>
      <c r="BF41" s="75" t="n">
        <f aca="false">IF(AND(BF$5&gt;$F41,BF$5&lt;=$G41),IF($K41="Sí",2,1),IF(AND($D41=0,BF$5=$G41),3,""))</f>
        <v>1</v>
      </c>
      <c r="BG41" s="75" t="n">
        <f aca="false">IF(AND(BG$5&gt;$F41,BG$5&lt;=$G41),IF($K41="Sí",2,1),IF(AND($D41=0,BG$5=$G41),3,""))</f>
        <v>1</v>
      </c>
      <c r="BH41" s="75" t="str">
        <f aca="false">IF(AND(BH$5&gt;$F41,BH$5&lt;=$G41),IF($K41="Sí",2,1),IF(AND($D41=0,BH$5=$G41),3,""))</f>
        <v/>
      </c>
      <c r="BI41" s="75" t="str">
        <f aca="false">IF(AND(BI$5&gt;$F41,BI$5&lt;=$G41),IF($K41="Sí",2,1),IF(AND($D41=0,BI$5=$G41),3,""))</f>
        <v/>
      </c>
      <c r="BJ41" s="75" t="str">
        <f aca="false">IF(AND(BJ$5&gt;$F41,BJ$5&lt;=$G41),IF($K41="Sí",2,1),IF(AND($D41=0,BJ$5=$G41),3,""))</f>
        <v/>
      </c>
      <c r="BK41" s="75" t="str">
        <f aca="false">IF(AND(BK$5&gt;$F41,BK$5&lt;=$G41),IF($K41="Sí",2,1),IF(AND($D41=0,BK$5=$G41),3,""))</f>
        <v/>
      </c>
      <c r="BL41" s="75" t="str">
        <f aca="false">IF(AND(BL$5&gt;$F41,BL$5&lt;=$G41),IF($K41="Sí",2,1),IF(AND($D41=0,BL$5=$G41),3,""))</f>
        <v/>
      </c>
      <c r="BM41" s="75" t="str">
        <f aca="false">IF(AND(BM$5&gt;$F41,BM$5&lt;=$G41),IF($K41="Sí",2,1),IF(AND($D41=0,BM$5=$G41),3,""))</f>
        <v/>
      </c>
      <c r="BN41" s="75" t="str">
        <f aca="false">IF(AND(BN$5&gt;$F41,BN$5&lt;=$G41),IF($K41="Sí",2,1),IF(AND($D41=0,BN$5=$G41),3,""))</f>
        <v/>
      </c>
      <c r="BO41" s="75" t="str">
        <f aca="false">IF(AND(BO$5&gt;$F41,BO$5&lt;=$G41),IF($K41="Sí",2,1),IF(AND($D41=0,BO$5=$G41),3,""))</f>
        <v/>
      </c>
      <c r="BQ41" s="59" t="n">
        <v>0</v>
      </c>
      <c r="BR41" s="59" t="n">
        <v>0</v>
      </c>
      <c r="BS41" s="59" t="n">
        <v>139</v>
      </c>
      <c r="BT41" s="59" t="n">
        <v>0</v>
      </c>
      <c r="BU41" s="59" t="n">
        <v>101</v>
      </c>
      <c r="BV41" s="59" t="n">
        <v>0</v>
      </c>
      <c r="BW41" s="76" t="n">
        <f aca="false">L41-240</f>
        <v>0</v>
      </c>
      <c r="BX41" s="77" t="n">
        <f aca="false">IF($D41=0,0,BQ41/$D41)</f>
        <v>0</v>
      </c>
      <c r="BY41" s="77" t="n">
        <f aca="false">IF($D41=0,0,BR41/$D41)</f>
        <v>0</v>
      </c>
      <c r="BZ41" s="77" t="n">
        <f aca="false">IF($D41=0,0,BS41/$D41)</f>
        <v>46.3333333333333</v>
      </c>
      <c r="CA41" s="77" t="n">
        <f aca="false">IF($D41=0,0,BT41/$D41)</f>
        <v>0</v>
      </c>
      <c r="CB41" s="77" t="n">
        <f aca="false">IF($D41=0,0,BU41/$D41)</f>
        <v>33.6666666666667</v>
      </c>
      <c r="CC41" s="77" t="n">
        <f aca="false">IF($D41=0,0,BV41/$D41)</f>
        <v>0</v>
      </c>
    </row>
    <row r="42" customFormat="false" ht="15" hidden="false" customHeight="true" outlineLevel="0" collapsed="false">
      <c r="A42" s="7" t="s">
        <v>1455</v>
      </c>
      <c r="B42" s="7" t="s">
        <v>1456</v>
      </c>
      <c r="C42" s="7" t="s">
        <v>1406</v>
      </c>
      <c r="D42" s="30" t="n">
        <v>2</v>
      </c>
      <c r="E42" s="7" t="s">
        <v>1450</v>
      </c>
      <c r="F42" s="32" t="n">
        <f aca="false">MAX(G40)+Q42</f>
        <v>45</v>
      </c>
      <c r="G42" s="32" t="n">
        <f aca="false">F42+D42</f>
        <v>47</v>
      </c>
      <c r="H42" s="32" t="n">
        <f aca="false">I42-D42</f>
        <v>45</v>
      </c>
      <c r="I42" s="32" t="n">
        <f aca="false">MIN(H43)</f>
        <v>47</v>
      </c>
      <c r="J42" s="32" t="n">
        <f aca="false">H42-F42</f>
        <v>0</v>
      </c>
      <c r="K42" s="71" t="str">
        <f aca="false">IF(J42=0,"Sí","")</f>
        <v>Sí</v>
      </c>
      <c r="L42" s="72" t="n">
        <f aca="false">SUM(BQ42:BV42)</f>
        <v>160</v>
      </c>
      <c r="M42" s="33" t="n">
        <f aca="false">SUMIFS(Cotizaciones!$J$5:$J$70,Cotizaciones!$C$5:$C$70,A42)</f>
        <v>0</v>
      </c>
      <c r="N42" s="32" t="n">
        <f aca="false">(L42*Supuestos!$B$47+M42*(1+Supuestos!$B$50))*(1+Supuestos!$B$51)/(1-Supuestos!$B$52)</f>
        <v>25991902.8340081</v>
      </c>
      <c r="O42" s="73" t="n">
        <f aca="false">$C$3+F42*7</f>
        <v>46713</v>
      </c>
      <c r="P42" s="73" t="n">
        <f aca="false">$C$3+G42*7-IF(D42&gt;0,1,0)</f>
        <v>46726</v>
      </c>
      <c r="Q42" s="74" t="n">
        <v>0</v>
      </c>
      <c r="R42" s="75" t="str">
        <f aca="false">IF(AND(R$5&gt;$F42,R$5&lt;=$G42),IF($K42="Sí",2,1),IF(AND($D42=0,R$5=$G42),3,""))</f>
        <v/>
      </c>
      <c r="S42" s="75" t="str">
        <f aca="false">IF(AND(S$5&gt;$F42,S$5&lt;=$G42),IF($K42="Sí",2,1),IF(AND($D42=0,S$5=$G42),3,""))</f>
        <v/>
      </c>
      <c r="T42" s="75" t="str">
        <f aca="false">IF(AND(T$5&gt;$F42,T$5&lt;=$G42),IF($K42="Sí",2,1),IF(AND($D42=0,T$5=$G42),3,""))</f>
        <v/>
      </c>
      <c r="U42" s="75" t="str">
        <f aca="false">IF(AND(U$5&gt;$F42,U$5&lt;=$G42),IF($K42="Sí",2,1),IF(AND($D42=0,U$5=$G42),3,""))</f>
        <v/>
      </c>
      <c r="V42" s="75" t="str">
        <f aca="false">IF(AND(V$5&gt;$F42,V$5&lt;=$G42),IF($K42="Sí",2,1),IF(AND($D42=0,V$5=$G42),3,""))</f>
        <v/>
      </c>
      <c r="W42" s="75" t="str">
        <f aca="false">IF(AND(W$5&gt;$F42,W$5&lt;=$G42),IF($K42="Sí",2,1),IF(AND($D42=0,W$5=$G42),3,""))</f>
        <v/>
      </c>
      <c r="X42" s="75" t="str">
        <f aca="false">IF(AND(X$5&gt;$F42,X$5&lt;=$G42),IF($K42="Sí",2,1),IF(AND($D42=0,X$5=$G42),3,""))</f>
        <v/>
      </c>
      <c r="Y42" s="75" t="str">
        <f aca="false">IF(AND(Y$5&gt;$F42,Y$5&lt;=$G42),IF($K42="Sí",2,1),IF(AND($D42=0,Y$5=$G42),3,""))</f>
        <v/>
      </c>
      <c r="Z42" s="75" t="str">
        <f aca="false">IF(AND(Z$5&gt;$F42,Z$5&lt;=$G42),IF($K42="Sí",2,1),IF(AND($D42=0,Z$5=$G42),3,""))</f>
        <v/>
      </c>
      <c r="AA42" s="75" t="str">
        <f aca="false">IF(AND(AA$5&gt;$F42,AA$5&lt;=$G42),IF($K42="Sí",2,1),IF(AND($D42=0,AA$5=$G42),3,""))</f>
        <v/>
      </c>
      <c r="AB42" s="75" t="str">
        <f aca="false">IF(AND(AB$5&gt;$F42,AB$5&lt;=$G42),IF($K42="Sí",2,1),IF(AND($D42=0,AB$5=$G42),3,""))</f>
        <v/>
      </c>
      <c r="AC42" s="75" t="str">
        <f aca="false">IF(AND(AC$5&gt;$F42,AC$5&lt;=$G42),IF($K42="Sí",2,1),IF(AND($D42=0,AC$5=$G42),3,""))</f>
        <v/>
      </c>
      <c r="AD42" s="75" t="str">
        <f aca="false">IF(AND(AD$5&gt;$F42,AD$5&lt;=$G42),IF($K42="Sí",2,1),IF(AND($D42=0,AD$5=$G42),3,""))</f>
        <v/>
      </c>
      <c r="AE42" s="75" t="str">
        <f aca="false">IF(AND(AE$5&gt;$F42,AE$5&lt;=$G42),IF($K42="Sí",2,1),IF(AND($D42=0,AE$5=$G42),3,""))</f>
        <v/>
      </c>
      <c r="AF42" s="75" t="str">
        <f aca="false">IF(AND(AF$5&gt;$F42,AF$5&lt;=$G42),IF($K42="Sí",2,1),IF(AND($D42=0,AF$5=$G42),3,""))</f>
        <v/>
      </c>
      <c r="AG42" s="75" t="str">
        <f aca="false">IF(AND(AG$5&gt;$F42,AG$5&lt;=$G42),IF($K42="Sí",2,1),IF(AND($D42=0,AG$5=$G42),3,""))</f>
        <v/>
      </c>
      <c r="AH42" s="75" t="str">
        <f aca="false">IF(AND(AH$5&gt;$F42,AH$5&lt;=$G42),IF($K42="Sí",2,1),IF(AND($D42=0,AH$5=$G42),3,""))</f>
        <v/>
      </c>
      <c r="AI42" s="75" t="str">
        <f aca="false">IF(AND(AI$5&gt;$F42,AI$5&lt;=$G42),IF($K42="Sí",2,1),IF(AND($D42=0,AI$5=$G42),3,""))</f>
        <v/>
      </c>
      <c r="AJ42" s="75" t="str">
        <f aca="false">IF(AND(AJ$5&gt;$F42,AJ$5&lt;=$G42),IF($K42="Sí",2,1),IF(AND($D42=0,AJ$5=$G42),3,""))</f>
        <v/>
      </c>
      <c r="AK42" s="75" t="str">
        <f aca="false">IF(AND(AK$5&gt;$F42,AK$5&lt;=$G42),IF($K42="Sí",2,1),IF(AND($D42=0,AK$5=$G42),3,""))</f>
        <v/>
      </c>
      <c r="AL42" s="75" t="str">
        <f aca="false">IF(AND(AL$5&gt;$F42,AL$5&lt;=$G42),IF($K42="Sí",2,1),IF(AND($D42=0,AL$5=$G42),3,""))</f>
        <v/>
      </c>
      <c r="AM42" s="75" t="str">
        <f aca="false">IF(AND(AM$5&gt;$F42,AM$5&lt;=$G42),IF($K42="Sí",2,1),IF(AND($D42=0,AM$5=$G42),3,""))</f>
        <v/>
      </c>
      <c r="AN42" s="75" t="str">
        <f aca="false">IF(AND(AN$5&gt;$F42,AN$5&lt;=$G42),IF($K42="Sí",2,1),IF(AND($D42=0,AN$5=$G42),3,""))</f>
        <v/>
      </c>
      <c r="AO42" s="75" t="str">
        <f aca="false">IF(AND(AO$5&gt;$F42,AO$5&lt;=$G42),IF($K42="Sí",2,1),IF(AND($D42=0,AO$5=$G42),3,""))</f>
        <v/>
      </c>
      <c r="AP42" s="75" t="str">
        <f aca="false">IF(AND(AP$5&gt;$F42,AP$5&lt;=$G42),IF($K42="Sí",2,1),IF(AND($D42=0,AP$5=$G42),3,""))</f>
        <v/>
      </c>
      <c r="AQ42" s="75" t="str">
        <f aca="false">IF(AND(AQ$5&gt;$F42,AQ$5&lt;=$G42),IF($K42="Sí",2,1),IF(AND($D42=0,AQ$5=$G42),3,""))</f>
        <v/>
      </c>
      <c r="AR42" s="75" t="str">
        <f aca="false">IF(AND(AR$5&gt;$F42,AR$5&lt;=$G42),IF($K42="Sí",2,1),IF(AND($D42=0,AR$5=$G42),3,""))</f>
        <v/>
      </c>
      <c r="AS42" s="75" t="str">
        <f aca="false">IF(AND(AS$5&gt;$F42,AS$5&lt;=$G42),IF($K42="Sí",2,1),IF(AND($D42=0,AS$5=$G42),3,""))</f>
        <v/>
      </c>
      <c r="AT42" s="75" t="str">
        <f aca="false">IF(AND(AT$5&gt;$F42,AT$5&lt;=$G42),IF($K42="Sí",2,1),IF(AND($D42=0,AT$5=$G42),3,""))</f>
        <v/>
      </c>
      <c r="AU42" s="75" t="str">
        <f aca="false">IF(AND(AU$5&gt;$F42,AU$5&lt;=$G42),IF($K42="Sí",2,1),IF(AND($D42=0,AU$5=$G42),3,""))</f>
        <v/>
      </c>
      <c r="AV42" s="75" t="str">
        <f aca="false">IF(AND(AV$5&gt;$F42,AV$5&lt;=$G42),IF($K42="Sí",2,1),IF(AND($D42=0,AV$5=$G42),3,""))</f>
        <v/>
      </c>
      <c r="AW42" s="75" t="str">
        <f aca="false">IF(AND(AW$5&gt;$F42,AW$5&lt;=$G42),IF($K42="Sí",2,1),IF(AND($D42=0,AW$5=$G42),3,""))</f>
        <v/>
      </c>
      <c r="AX42" s="75" t="str">
        <f aca="false">IF(AND(AX$5&gt;$F42,AX$5&lt;=$G42),IF($K42="Sí",2,1),IF(AND($D42=0,AX$5=$G42),3,""))</f>
        <v/>
      </c>
      <c r="AY42" s="75" t="str">
        <f aca="false">IF(AND(AY$5&gt;$F42,AY$5&lt;=$G42),IF($K42="Sí",2,1),IF(AND($D42=0,AY$5=$G42),3,""))</f>
        <v/>
      </c>
      <c r="AZ42" s="75" t="str">
        <f aca="false">IF(AND(AZ$5&gt;$F42,AZ$5&lt;=$G42),IF($K42="Sí",2,1),IF(AND($D42=0,AZ$5=$G42),3,""))</f>
        <v/>
      </c>
      <c r="BA42" s="75" t="str">
        <f aca="false">IF(AND(BA$5&gt;$F42,BA$5&lt;=$G42),IF($K42="Sí",2,1),IF(AND($D42=0,BA$5=$G42),3,""))</f>
        <v/>
      </c>
      <c r="BB42" s="75" t="str">
        <f aca="false">IF(AND(BB$5&gt;$F42,BB$5&lt;=$G42),IF($K42="Sí",2,1),IF(AND($D42=0,BB$5=$G42),3,""))</f>
        <v/>
      </c>
      <c r="BC42" s="75" t="str">
        <f aca="false">IF(AND(BC$5&gt;$F42,BC$5&lt;=$G42),IF($K42="Sí",2,1),IF(AND($D42=0,BC$5=$G42),3,""))</f>
        <v/>
      </c>
      <c r="BD42" s="75" t="str">
        <f aca="false">IF(AND(BD$5&gt;$F42,BD$5&lt;=$G42),IF($K42="Sí",2,1),IF(AND($D42=0,BD$5=$G42),3,""))</f>
        <v/>
      </c>
      <c r="BE42" s="75" t="str">
        <f aca="false">IF(AND(BE$5&gt;$F42,BE$5&lt;=$G42),IF($K42="Sí",2,1),IF(AND($D42=0,BE$5=$G42),3,""))</f>
        <v/>
      </c>
      <c r="BF42" s="75" t="str">
        <f aca="false">IF(AND(BF$5&gt;$F42,BF$5&lt;=$G42),IF($K42="Sí",2,1),IF(AND($D42=0,BF$5=$G42),3,""))</f>
        <v/>
      </c>
      <c r="BG42" s="75" t="str">
        <f aca="false">IF(AND(BG$5&gt;$F42,BG$5&lt;=$G42),IF($K42="Sí",2,1),IF(AND($D42=0,BG$5=$G42),3,""))</f>
        <v/>
      </c>
      <c r="BH42" s="75" t="str">
        <f aca="false">IF(AND(BH$5&gt;$F42,BH$5&lt;=$G42),IF($K42="Sí",2,1),IF(AND($D42=0,BH$5=$G42),3,""))</f>
        <v/>
      </c>
      <c r="BI42" s="75" t="str">
        <f aca="false">IF(AND(BI$5&gt;$F42,BI$5&lt;=$G42),IF($K42="Sí",2,1),IF(AND($D42=0,BI$5=$G42),3,""))</f>
        <v/>
      </c>
      <c r="BJ42" s="75" t="str">
        <f aca="false">IF(AND(BJ$5&gt;$F42,BJ$5&lt;=$G42),IF($K42="Sí",2,1),IF(AND($D42=0,BJ$5=$G42),3,""))</f>
        <v/>
      </c>
      <c r="BK42" s="75" t="n">
        <f aca="false">IF(AND(BK$5&gt;$F42,BK$5&lt;=$G42),IF($K42="Sí",2,1),IF(AND($D42=0,BK$5=$G42),3,""))</f>
        <v>2</v>
      </c>
      <c r="BL42" s="75" t="n">
        <f aca="false">IF(AND(BL$5&gt;$F42,BL$5&lt;=$G42),IF($K42="Sí",2,1),IF(AND($D42=0,BL$5=$G42),3,""))</f>
        <v>2</v>
      </c>
      <c r="BM42" s="75" t="str">
        <f aca="false">IF(AND(BM$5&gt;$F42,BM$5&lt;=$G42),IF($K42="Sí",2,1),IF(AND($D42=0,BM$5=$G42),3,""))</f>
        <v/>
      </c>
      <c r="BN42" s="75" t="str">
        <f aca="false">IF(AND(BN$5&gt;$F42,BN$5&lt;=$G42),IF($K42="Sí",2,1),IF(AND($D42=0,BN$5=$G42),3,""))</f>
        <v/>
      </c>
      <c r="BO42" s="75" t="str">
        <f aca="false">IF(AND(BO$5&gt;$F42,BO$5&lt;=$G42),IF($K42="Sí",2,1),IF(AND($D42=0,BO$5=$G42),3,""))</f>
        <v/>
      </c>
      <c r="BQ42" s="59" t="n">
        <v>0</v>
      </c>
      <c r="BR42" s="59" t="n">
        <v>0</v>
      </c>
      <c r="BS42" s="59" t="n">
        <v>0</v>
      </c>
      <c r="BT42" s="59" t="n">
        <v>0</v>
      </c>
      <c r="BU42" s="59" t="n">
        <v>73</v>
      </c>
      <c r="BV42" s="59" t="n">
        <v>87</v>
      </c>
      <c r="BW42" s="76" t="n">
        <f aca="false">L42-160</f>
        <v>0</v>
      </c>
      <c r="BX42" s="77" t="n">
        <f aca="false">IF($D42=0,0,BQ42/$D42)</f>
        <v>0</v>
      </c>
      <c r="BY42" s="77" t="n">
        <f aca="false">IF($D42=0,0,BR42/$D42)</f>
        <v>0</v>
      </c>
      <c r="BZ42" s="77" t="n">
        <f aca="false">IF($D42=0,0,BS42/$D42)</f>
        <v>0</v>
      </c>
      <c r="CA42" s="77" t="n">
        <f aca="false">IF($D42=0,0,BT42/$D42)</f>
        <v>0</v>
      </c>
      <c r="CB42" s="77" t="n">
        <f aca="false">IF($D42=0,0,BU42/$D42)</f>
        <v>36.5</v>
      </c>
      <c r="CC42" s="77" t="n">
        <f aca="false">IF($D42=0,0,BV42/$D42)</f>
        <v>43.5</v>
      </c>
    </row>
    <row r="43" customFormat="false" ht="15" hidden="false" customHeight="true" outlineLevel="0" collapsed="false">
      <c r="A43" s="7" t="s">
        <v>1457</v>
      </c>
      <c r="B43" s="7" t="s">
        <v>1458</v>
      </c>
      <c r="C43" s="7" t="s">
        <v>1378</v>
      </c>
      <c r="D43" s="30" t="n">
        <v>1</v>
      </c>
      <c r="E43" s="7" t="s">
        <v>1459</v>
      </c>
      <c r="F43" s="32" t="n">
        <f aca="false">MAX(G42,G41)+Q43</f>
        <v>47</v>
      </c>
      <c r="G43" s="32" t="n">
        <f aca="false">F43+D43</f>
        <v>48</v>
      </c>
      <c r="H43" s="32" t="n">
        <f aca="false">I43-D43</f>
        <v>47</v>
      </c>
      <c r="I43" s="32" t="n">
        <f aca="false">MAX($G$6:$G$43)</f>
        <v>48</v>
      </c>
      <c r="J43" s="32" t="n">
        <f aca="false">H43-F43</f>
        <v>0</v>
      </c>
      <c r="K43" s="71" t="str">
        <f aca="false">IF(J43=0,"Sí","")</f>
        <v>Sí</v>
      </c>
      <c r="L43" s="72" t="n">
        <f aca="false">SUM(BQ43:BV43)</f>
        <v>80</v>
      </c>
      <c r="M43" s="33" t="n">
        <f aca="false">SUMIFS(Cotizaciones!$J$5:$J$70,Cotizaciones!$C$5:$C$70,A43)</f>
        <v>0</v>
      </c>
      <c r="N43" s="32" t="n">
        <f aca="false">(L43*Supuestos!$B$47+M43*(1+Supuestos!$B$50))*(1+Supuestos!$B$51)/(1-Supuestos!$B$52)</f>
        <v>12995951.417004</v>
      </c>
      <c r="O43" s="73" t="n">
        <f aca="false">$C$3+F43*7</f>
        <v>46727</v>
      </c>
      <c r="P43" s="73" t="n">
        <f aca="false">$C$3+G43*7-IF(D43&gt;0,1,0)</f>
        <v>46733</v>
      </c>
      <c r="Q43" s="74" t="n">
        <v>0</v>
      </c>
      <c r="R43" s="75" t="str">
        <f aca="false">IF(AND(R$5&gt;$F43,R$5&lt;=$G43),IF($K43="Sí",2,1),IF(AND($D43=0,R$5=$G43),3,""))</f>
        <v/>
      </c>
      <c r="S43" s="75" t="str">
        <f aca="false">IF(AND(S$5&gt;$F43,S$5&lt;=$G43),IF($K43="Sí",2,1),IF(AND($D43=0,S$5=$G43),3,""))</f>
        <v/>
      </c>
      <c r="T43" s="75" t="str">
        <f aca="false">IF(AND(T$5&gt;$F43,T$5&lt;=$G43),IF($K43="Sí",2,1),IF(AND($D43=0,T$5=$G43),3,""))</f>
        <v/>
      </c>
      <c r="U43" s="75" t="str">
        <f aca="false">IF(AND(U$5&gt;$F43,U$5&lt;=$G43),IF($K43="Sí",2,1),IF(AND($D43=0,U$5=$G43),3,""))</f>
        <v/>
      </c>
      <c r="V43" s="75" t="str">
        <f aca="false">IF(AND(V$5&gt;$F43,V$5&lt;=$G43),IF($K43="Sí",2,1),IF(AND($D43=0,V$5=$G43),3,""))</f>
        <v/>
      </c>
      <c r="W43" s="75" t="str">
        <f aca="false">IF(AND(W$5&gt;$F43,W$5&lt;=$G43),IF($K43="Sí",2,1),IF(AND($D43=0,W$5=$G43),3,""))</f>
        <v/>
      </c>
      <c r="X43" s="75" t="str">
        <f aca="false">IF(AND(X$5&gt;$F43,X$5&lt;=$G43),IF($K43="Sí",2,1),IF(AND($D43=0,X$5=$G43),3,""))</f>
        <v/>
      </c>
      <c r="Y43" s="75" t="str">
        <f aca="false">IF(AND(Y$5&gt;$F43,Y$5&lt;=$G43),IF($K43="Sí",2,1),IF(AND($D43=0,Y$5=$G43),3,""))</f>
        <v/>
      </c>
      <c r="Z43" s="75" t="str">
        <f aca="false">IF(AND(Z$5&gt;$F43,Z$5&lt;=$G43),IF($K43="Sí",2,1),IF(AND($D43=0,Z$5=$G43),3,""))</f>
        <v/>
      </c>
      <c r="AA43" s="75" t="str">
        <f aca="false">IF(AND(AA$5&gt;$F43,AA$5&lt;=$G43),IF($K43="Sí",2,1),IF(AND($D43=0,AA$5=$G43),3,""))</f>
        <v/>
      </c>
      <c r="AB43" s="75" t="str">
        <f aca="false">IF(AND(AB$5&gt;$F43,AB$5&lt;=$G43),IF($K43="Sí",2,1),IF(AND($D43=0,AB$5=$G43),3,""))</f>
        <v/>
      </c>
      <c r="AC43" s="75" t="str">
        <f aca="false">IF(AND(AC$5&gt;$F43,AC$5&lt;=$G43),IF($K43="Sí",2,1),IF(AND($D43=0,AC$5=$G43),3,""))</f>
        <v/>
      </c>
      <c r="AD43" s="75" t="str">
        <f aca="false">IF(AND(AD$5&gt;$F43,AD$5&lt;=$G43),IF($K43="Sí",2,1),IF(AND($D43=0,AD$5=$G43),3,""))</f>
        <v/>
      </c>
      <c r="AE43" s="75" t="str">
        <f aca="false">IF(AND(AE$5&gt;$F43,AE$5&lt;=$G43),IF($K43="Sí",2,1),IF(AND($D43=0,AE$5=$G43),3,""))</f>
        <v/>
      </c>
      <c r="AF43" s="75" t="str">
        <f aca="false">IF(AND(AF$5&gt;$F43,AF$5&lt;=$G43),IF($K43="Sí",2,1),IF(AND($D43=0,AF$5=$G43),3,""))</f>
        <v/>
      </c>
      <c r="AG43" s="75" t="str">
        <f aca="false">IF(AND(AG$5&gt;$F43,AG$5&lt;=$G43),IF($K43="Sí",2,1),IF(AND($D43=0,AG$5=$G43),3,""))</f>
        <v/>
      </c>
      <c r="AH43" s="75" t="str">
        <f aca="false">IF(AND(AH$5&gt;$F43,AH$5&lt;=$G43),IF($K43="Sí",2,1),IF(AND($D43=0,AH$5=$G43),3,""))</f>
        <v/>
      </c>
      <c r="AI43" s="75" t="str">
        <f aca="false">IF(AND(AI$5&gt;$F43,AI$5&lt;=$G43),IF($K43="Sí",2,1),IF(AND($D43=0,AI$5=$G43),3,""))</f>
        <v/>
      </c>
      <c r="AJ43" s="75" t="str">
        <f aca="false">IF(AND(AJ$5&gt;$F43,AJ$5&lt;=$G43),IF($K43="Sí",2,1),IF(AND($D43=0,AJ$5=$G43),3,""))</f>
        <v/>
      </c>
      <c r="AK43" s="75" t="str">
        <f aca="false">IF(AND(AK$5&gt;$F43,AK$5&lt;=$G43),IF($K43="Sí",2,1),IF(AND($D43=0,AK$5=$G43),3,""))</f>
        <v/>
      </c>
      <c r="AL43" s="75" t="str">
        <f aca="false">IF(AND(AL$5&gt;$F43,AL$5&lt;=$G43),IF($K43="Sí",2,1),IF(AND($D43=0,AL$5=$G43),3,""))</f>
        <v/>
      </c>
      <c r="AM43" s="75" t="str">
        <f aca="false">IF(AND(AM$5&gt;$F43,AM$5&lt;=$G43),IF($K43="Sí",2,1),IF(AND($D43=0,AM$5=$G43),3,""))</f>
        <v/>
      </c>
      <c r="AN43" s="75" t="str">
        <f aca="false">IF(AND(AN$5&gt;$F43,AN$5&lt;=$G43),IF($K43="Sí",2,1),IF(AND($D43=0,AN$5=$G43),3,""))</f>
        <v/>
      </c>
      <c r="AO43" s="75" t="str">
        <f aca="false">IF(AND(AO$5&gt;$F43,AO$5&lt;=$G43),IF($K43="Sí",2,1),IF(AND($D43=0,AO$5=$G43),3,""))</f>
        <v/>
      </c>
      <c r="AP43" s="75" t="str">
        <f aca="false">IF(AND(AP$5&gt;$F43,AP$5&lt;=$G43),IF($K43="Sí",2,1),IF(AND($D43=0,AP$5=$G43),3,""))</f>
        <v/>
      </c>
      <c r="AQ43" s="75" t="str">
        <f aca="false">IF(AND(AQ$5&gt;$F43,AQ$5&lt;=$G43),IF($K43="Sí",2,1),IF(AND($D43=0,AQ$5=$G43),3,""))</f>
        <v/>
      </c>
      <c r="AR43" s="75" t="str">
        <f aca="false">IF(AND(AR$5&gt;$F43,AR$5&lt;=$G43),IF($K43="Sí",2,1),IF(AND($D43=0,AR$5=$G43),3,""))</f>
        <v/>
      </c>
      <c r="AS43" s="75" t="str">
        <f aca="false">IF(AND(AS$5&gt;$F43,AS$5&lt;=$G43),IF($K43="Sí",2,1),IF(AND($D43=0,AS$5=$G43),3,""))</f>
        <v/>
      </c>
      <c r="AT43" s="75" t="str">
        <f aca="false">IF(AND(AT$5&gt;$F43,AT$5&lt;=$G43),IF($K43="Sí",2,1),IF(AND($D43=0,AT$5=$G43),3,""))</f>
        <v/>
      </c>
      <c r="AU43" s="75" t="str">
        <f aca="false">IF(AND(AU$5&gt;$F43,AU$5&lt;=$G43),IF($K43="Sí",2,1),IF(AND($D43=0,AU$5=$G43),3,""))</f>
        <v/>
      </c>
      <c r="AV43" s="75" t="str">
        <f aca="false">IF(AND(AV$5&gt;$F43,AV$5&lt;=$G43),IF($K43="Sí",2,1),IF(AND($D43=0,AV$5=$G43),3,""))</f>
        <v/>
      </c>
      <c r="AW43" s="75" t="str">
        <f aca="false">IF(AND(AW$5&gt;$F43,AW$5&lt;=$G43),IF($K43="Sí",2,1),IF(AND($D43=0,AW$5=$G43),3,""))</f>
        <v/>
      </c>
      <c r="AX43" s="75" t="str">
        <f aca="false">IF(AND(AX$5&gt;$F43,AX$5&lt;=$G43),IF($K43="Sí",2,1),IF(AND($D43=0,AX$5=$G43),3,""))</f>
        <v/>
      </c>
      <c r="AY43" s="75" t="str">
        <f aca="false">IF(AND(AY$5&gt;$F43,AY$5&lt;=$G43),IF($K43="Sí",2,1),IF(AND($D43=0,AY$5=$G43),3,""))</f>
        <v/>
      </c>
      <c r="AZ43" s="75" t="str">
        <f aca="false">IF(AND(AZ$5&gt;$F43,AZ$5&lt;=$G43),IF($K43="Sí",2,1),IF(AND($D43=0,AZ$5=$G43),3,""))</f>
        <v/>
      </c>
      <c r="BA43" s="75" t="str">
        <f aca="false">IF(AND(BA$5&gt;$F43,BA$5&lt;=$G43),IF($K43="Sí",2,1),IF(AND($D43=0,BA$5=$G43),3,""))</f>
        <v/>
      </c>
      <c r="BB43" s="75" t="str">
        <f aca="false">IF(AND(BB$5&gt;$F43,BB$5&lt;=$G43),IF($K43="Sí",2,1),IF(AND($D43=0,BB$5=$G43),3,""))</f>
        <v/>
      </c>
      <c r="BC43" s="75" t="str">
        <f aca="false">IF(AND(BC$5&gt;$F43,BC$5&lt;=$G43),IF($K43="Sí",2,1),IF(AND($D43=0,BC$5=$G43),3,""))</f>
        <v/>
      </c>
      <c r="BD43" s="75" t="str">
        <f aca="false">IF(AND(BD$5&gt;$F43,BD$5&lt;=$G43),IF($K43="Sí",2,1),IF(AND($D43=0,BD$5=$G43),3,""))</f>
        <v/>
      </c>
      <c r="BE43" s="75" t="str">
        <f aca="false">IF(AND(BE$5&gt;$F43,BE$5&lt;=$G43),IF($K43="Sí",2,1),IF(AND($D43=0,BE$5=$G43),3,""))</f>
        <v/>
      </c>
      <c r="BF43" s="75" t="str">
        <f aca="false">IF(AND(BF$5&gt;$F43,BF$5&lt;=$G43),IF($K43="Sí",2,1),IF(AND($D43=0,BF$5=$G43),3,""))</f>
        <v/>
      </c>
      <c r="BG43" s="75" t="str">
        <f aca="false">IF(AND(BG$5&gt;$F43,BG$5&lt;=$G43),IF($K43="Sí",2,1),IF(AND($D43=0,BG$5=$G43),3,""))</f>
        <v/>
      </c>
      <c r="BH43" s="75" t="str">
        <f aca="false">IF(AND(BH$5&gt;$F43,BH$5&lt;=$G43),IF($K43="Sí",2,1),IF(AND($D43=0,BH$5=$G43),3,""))</f>
        <v/>
      </c>
      <c r="BI43" s="75" t="str">
        <f aca="false">IF(AND(BI$5&gt;$F43,BI$5&lt;=$G43),IF($K43="Sí",2,1),IF(AND($D43=0,BI$5=$G43),3,""))</f>
        <v/>
      </c>
      <c r="BJ43" s="75" t="str">
        <f aca="false">IF(AND(BJ$5&gt;$F43,BJ$5&lt;=$G43),IF($K43="Sí",2,1),IF(AND($D43=0,BJ$5=$G43),3,""))</f>
        <v/>
      </c>
      <c r="BK43" s="75" t="str">
        <f aca="false">IF(AND(BK$5&gt;$F43,BK$5&lt;=$G43),IF($K43="Sí",2,1),IF(AND($D43=0,BK$5=$G43),3,""))</f>
        <v/>
      </c>
      <c r="BL43" s="75" t="str">
        <f aca="false">IF(AND(BL$5&gt;$F43,BL$5&lt;=$G43),IF($K43="Sí",2,1),IF(AND($D43=0,BL$5=$G43),3,""))</f>
        <v/>
      </c>
      <c r="BM43" s="75" t="n">
        <f aca="false">IF(AND(BM$5&gt;$F43,BM$5&lt;=$G43),IF($K43="Sí",2,1),IF(AND($D43=0,BM$5=$G43),3,""))</f>
        <v>2</v>
      </c>
      <c r="BN43" s="75" t="str">
        <f aca="false">IF(AND(BN$5&gt;$F43,BN$5&lt;=$G43),IF($K43="Sí",2,1),IF(AND($D43=0,BN$5=$G43),3,""))</f>
        <v/>
      </c>
      <c r="BO43" s="75" t="str">
        <f aca="false">IF(AND(BO$5&gt;$F43,BO$5&lt;=$G43),IF($K43="Sí",2,1),IF(AND($D43=0,BO$5=$G43),3,""))</f>
        <v/>
      </c>
      <c r="BQ43" s="59" t="n">
        <v>44</v>
      </c>
      <c r="BR43" s="59" t="n">
        <v>0</v>
      </c>
      <c r="BS43" s="59" t="n">
        <v>0</v>
      </c>
      <c r="BT43" s="59" t="n">
        <v>0</v>
      </c>
      <c r="BU43" s="59" t="n">
        <v>36</v>
      </c>
      <c r="BV43" s="59" t="n">
        <v>0</v>
      </c>
      <c r="BW43" s="76" t="n">
        <f aca="false">L43-80</f>
        <v>0</v>
      </c>
      <c r="BX43" s="77" t="n">
        <f aca="false">IF($D43=0,0,BQ43/$D43)</f>
        <v>44</v>
      </c>
      <c r="BY43" s="77" t="n">
        <f aca="false">IF($D43=0,0,BR43/$D43)</f>
        <v>0</v>
      </c>
      <c r="BZ43" s="77" t="n">
        <f aca="false">IF($D43=0,0,BS43/$D43)</f>
        <v>0</v>
      </c>
      <c r="CA43" s="77" t="n">
        <f aca="false">IF($D43=0,0,BT43/$D43)</f>
        <v>0</v>
      </c>
      <c r="CB43" s="77" t="n">
        <f aca="false">IF($D43=0,0,BU43/$D43)</f>
        <v>36</v>
      </c>
      <c r="CC43" s="77" t="n">
        <f aca="false">IF($D43=0,0,BV43/$D43)</f>
        <v>0</v>
      </c>
    </row>
    <row r="44" customFormat="false" ht="15" hidden="false" customHeight="true" outlineLevel="0" collapsed="false">
      <c r="B44" s="34" t="s">
        <v>1460</v>
      </c>
      <c r="G44" s="36" t="n">
        <f aca="false">MAX(G6:G43)</f>
        <v>48</v>
      </c>
      <c r="L44" s="36" t="n">
        <f aca="false">SUM(L6:L43)</f>
        <v>10160</v>
      </c>
      <c r="M44" s="36" t="n">
        <f aca="false">SUM(M6:M43)</f>
        <v>5771391421.60046</v>
      </c>
      <c r="N44" s="36" t="n">
        <f aca="false">SUM(N6:N43)</f>
        <v>8525918727.95925</v>
      </c>
      <c r="BQ44" s="78" t="n">
        <f aca="false">SUM(BQ6:BQ43)</f>
        <v>1749</v>
      </c>
      <c r="BR44" s="78" t="n">
        <f aca="false">SUM(BR6:BR43)</f>
        <v>1486</v>
      </c>
      <c r="BS44" s="78" t="n">
        <f aca="false">SUM(BS6:BS43)</f>
        <v>1799</v>
      </c>
      <c r="BT44" s="78" t="n">
        <f aca="false">SUM(BT6:BT43)</f>
        <v>1691</v>
      </c>
      <c r="BU44" s="78" t="n">
        <f aca="false">SUM(BU6:BU43)</f>
        <v>1772</v>
      </c>
      <c r="BV44" s="78" t="n">
        <f aca="false">SUM(BV6:BV43)</f>
        <v>1663</v>
      </c>
      <c r="BW44" s="76" t="n">
        <f aca="false">SUM(BW6:BW43)</f>
        <v>0</v>
      </c>
    </row>
    <row r="45" customFormat="false" ht="15" hidden="false" customHeight="true" outlineLevel="0" collapsed="false">
      <c r="B45" s="7" t="s">
        <v>1461</v>
      </c>
      <c r="G45" s="40" t="n">
        <f aca="false">G44*7/30.4</f>
        <v>11.0526315789474</v>
      </c>
    </row>
    <row r="47" customFormat="false" ht="23.25" hidden="false" customHeight="true" outlineLevel="0" collapsed="false">
      <c r="B47" s="5" t="s">
        <v>1462</v>
      </c>
    </row>
    <row r="49" customFormat="false" ht="15" hidden="false" customHeight="false" outlineLevel="0" collapsed="false">
      <c r="A49" s="54" t="s">
        <v>1463</v>
      </c>
    </row>
    <row r="50" customFormat="false" ht="15" hidden="false" customHeight="false" outlineLevel="0" collapsed="false">
      <c r="A50" s="54" t="s">
        <v>279</v>
      </c>
      <c r="B50" s="54" t="s">
        <v>1464</v>
      </c>
      <c r="C50" s="54" t="s">
        <v>1465</v>
      </c>
      <c r="D50" s="54" t="s">
        <v>1466</v>
      </c>
      <c r="R50" s="79" t="n">
        <v>1</v>
      </c>
      <c r="S50" s="79" t="n">
        <v>2</v>
      </c>
      <c r="T50" s="79" t="n">
        <v>3</v>
      </c>
      <c r="U50" s="79" t="n">
        <v>4</v>
      </c>
      <c r="V50" s="79" t="n">
        <v>5</v>
      </c>
      <c r="W50" s="79" t="n">
        <v>6</v>
      </c>
      <c r="X50" s="79" t="n">
        <v>7</v>
      </c>
      <c r="Y50" s="79" t="n">
        <v>8</v>
      </c>
      <c r="Z50" s="79" t="n">
        <v>9</v>
      </c>
      <c r="AA50" s="79" t="n">
        <v>10</v>
      </c>
      <c r="AB50" s="79" t="n">
        <v>11</v>
      </c>
      <c r="AC50" s="79" t="n">
        <v>12</v>
      </c>
      <c r="AD50" s="79" t="n">
        <v>13</v>
      </c>
      <c r="AE50" s="79" t="n">
        <v>14</v>
      </c>
      <c r="AF50" s="79" t="n">
        <v>15</v>
      </c>
      <c r="AG50" s="79" t="n">
        <v>16</v>
      </c>
      <c r="AH50" s="79" t="n">
        <v>17</v>
      </c>
      <c r="AI50" s="79" t="n">
        <v>18</v>
      </c>
      <c r="AJ50" s="79" t="n">
        <v>19</v>
      </c>
      <c r="AK50" s="79" t="n">
        <v>20</v>
      </c>
      <c r="AL50" s="79" t="n">
        <v>21</v>
      </c>
      <c r="AM50" s="79" t="n">
        <v>22</v>
      </c>
      <c r="AN50" s="79" t="n">
        <v>23</v>
      </c>
      <c r="AO50" s="79" t="n">
        <v>24</v>
      </c>
      <c r="AP50" s="79" t="n">
        <v>25</v>
      </c>
      <c r="AQ50" s="79" t="n">
        <v>26</v>
      </c>
      <c r="AR50" s="79" t="n">
        <v>27</v>
      </c>
      <c r="AS50" s="79" t="n">
        <v>28</v>
      </c>
      <c r="AT50" s="79" t="n">
        <v>29</v>
      </c>
      <c r="AU50" s="79" t="n">
        <v>30</v>
      </c>
      <c r="AV50" s="79" t="n">
        <v>31</v>
      </c>
      <c r="AW50" s="79" t="n">
        <v>32</v>
      </c>
      <c r="AX50" s="79" t="n">
        <v>33</v>
      </c>
      <c r="AY50" s="79" t="n">
        <v>34</v>
      </c>
      <c r="AZ50" s="79" t="n">
        <v>35</v>
      </c>
      <c r="BA50" s="79" t="n">
        <v>36</v>
      </c>
      <c r="BB50" s="79" t="n">
        <v>37</v>
      </c>
      <c r="BC50" s="79" t="n">
        <v>38</v>
      </c>
      <c r="BD50" s="79" t="n">
        <v>39</v>
      </c>
      <c r="BE50" s="79" t="n">
        <v>40</v>
      </c>
      <c r="BF50" s="79" t="n">
        <v>41</v>
      </c>
      <c r="BG50" s="79" t="n">
        <v>42</v>
      </c>
      <c r="BH50" s="79" t="n">
        <v>43</v>
      </c>
      <c r="BI50" s="79" t="n">
        <v>44</v>
      </c>
      <c r="BJ50" s="79" t="n">
        <v>45</v>
      </c>
      <c r="BK50" s="79" t="n">
        <v>46</v>
      </c>
      <c r="BL50" s="79" t="n">
        <v>47</v>
      </c>
      <c r="BM50" s="79" t="n">
        <v>48</v>
      </c>
    </row>
    <row r="51" customFormat="false" ht="15" hidden="false" customHeight="false" outlineLevel="0" collapsed="false">
      <c r="A51" s="1" t="s">
        <v>1378</v>
      </c>
      <c r="B51" s="61" t="n">
        <f aca="false">SUM(R51:BM51)</f>
        <v>1749</v>
      </c>
      <c r="C51" s="77" t="n">
        <f aca="false">MAX(R51:BM51)</f>
        <v>44</v>
      </c>
      <c r="D51" s="80" t="n">
        <f aca="false">B51/1920</f>
        <v>0.9109375</v>
      </c>
      <c r="R51" s="81" t="n">
        <f aca="false">SUMPRODUCT(($F$6:$F$43&lt;R$50)*($G$6:$G$43&gt;=R$50)*BX$6:BX$43)</f>
        <v>44</v>
      </c>
      <c r="S51" s="81" t="n">
        <f aca="false">SUMPRODUCT(($F$6:$F$43&lt;S$50)*($G$6:$G$43&gt;=S$50)*BX$6:BX$43)</f>
        <v>43.5</v>
      </c>
      <c r="T51" s="81" t="n">
        <f aca="false">SUMPRODUCT(($F$6:$F$43&lt;T$50)*($G$6:$G$43&gt;=T$50)*BX$6:BX$43)</f>
        <v>43.5</v>
      </c>
      <c r="U51" s="81" t="n">
        <f aca="false">SUMPRODUCT(($F$6:$F$43&lt;U$50)*($G$6:$G$43&gt;=U$50)*BX$6:BX$43)</f>
        <v>25</v>
      </c>
      <c r="V51" s="81" t="n">
        <f aca="false">SUMPRODUCT(($F$6:$F$43&lt;V$50)*($G$6:$G$43&gt;=V$50)*BX$6:BX$43)</f>
        <v>25</v>
      </c>
      <c r="W51" s="81" t="n">
        <f aca="false">SUMPRODUCT(($F$6:$F$43&lt;W$50)*($G$6:$G$43&gt;=W$50)*BX$6:BX$43)</f>
        <v>25</v>
      </c>
      <c r="X51" s="81" t="n">
        <f aca="false">SUMPRODUCT(($F$6:$F$43&lt;X$50)*($G$6:$G$43&gt;=X$50)*BX$6:BX$43)</f>
        <v>25</v>
      </c>
      <c r="Y51" s="81" t="n">
        <f aca="false">SUMPRODUCT(($F$6:$F$43&lt;Y$50)*($G$6:$G$43&gt;=Y$50)*BX$6:BX$43)</f>
        <v>36.2</v>
      </c>
      <c r="Z51" s="81" t="n">
        <f aca="false">SUMPRODUCT(($F$6:$F$43&lt;Z$50)*($G$6:$G$43&gt;=Z$50)*BX$6:BX$43)</f>
        <v>36.2</v>
      </c>
      <c r="AA51" s="81" t="n">
        <f aca="false">SUMPRODUCT(($F$6:$F$43&lt;AA$50)*($G$6:$G$43&gt;=AA$50)*BX$6:BX$43)</f>
        <v>36.2</v>
      </c>
      <c r="AB51" s="81" t="n">
        <f aca="false">SUMPRODUCT(($F$6:$F$43&lt;AB$50)*($G$6:$G$43&gt;=AB$50)*BX$6:BX$43)</f>
        <v>36.2</v>
      </c>
      <c r="AC51" s="81" t="n">
        <f aca="false">SUMPRODUCT(($F$6:$F$43&lt;AC$50)*($G$6:$G$43&gt;=AC$50)*BX$6:BX$43)</f>
        <v>37.6</v>
      </c>
      <c r="AD51" s="81" t="n">
        <f aca="false">SUMPRODUCT(($F$6:$F$43&lt;AD$50)*($G$6:$G$43&gt;=AD$50)*BX$6:BX$43)</f>
        <v>43.7333333333333</v>
      </c>
      <c r="AE51" s="81" t="n">
        <f aca="false">SUMPRODUCT(($F$6:$F$43&lt;AE$50)*($G$6:$G$43&gt;=AE$50)*BX$6:BX$43)</f>
        <v>43.7333333333333</v>
      </c>
      <c r="AF51" s="81" t="n">
        <f aca="false">SUMPRODUCT(($F$6:$F$43&lt;AF$50)*($G$6:$G$43&gt;=AF$50)*BX$6:BX$43)</f>
        <v>43.7333333333333</v>
      </c>
      <c r="AG51" s="81" t="n">
        <f aca="false">SUMPRODUCT(($F$6:$F$43&lt;AG$50)*($G$6:$G$43&gt;=AG$50)*BX$6:BX$43)</f>
        <v>33.0666666666667</v>
      </c>
      <c r="AH51" s="81" t="n">
        <f aca="false">SUMPRODUCT(($F$6:$F$43&lt;AH$50)*($G$6:$G$43&gt;=AH$50)*BX$6:BX$43)</f>
        <v>41.0666666666667</v>
      </c>
      <c r="AI51" s="81" t="n">
        <f aca="false">SUMPRODUCT(($F$6:$F$43&lt;AI$50)*($G$6:$G$43&gt;=AI$50)*BX$6:BX$43)</f>
        <v>41.0666666666667</v>
      </c>
      <c r="AJ51" s="81" t="n">
        <f aca="false">SUMPRODUCT(($F$6:$F$43&lt;AJ$50)*($G$6:$G$43&gt;=AJ$50)*BX$6:BX$43)</f>
        <v>41.0666666666667</v>
      </c>
      <c r="AK51" s="81" t="n">
        <f aca="false">SUMPRODUCT(($F$6:$F$43&lt;AK$50)*($G$6:$G$43&gt;=AK$50)*BX$6:BX$43)</f>
        <v>41.0666666666667</v>
      </c>
      <c r="AL51" s="81" t="n">
        <f aca="false">SUMPRODUCT(($F$6:$F$43&lt;AL$50)*($G$6:$G$43&gt;=AL$50)*BX$6:BX$43)</f>
        <v>41.0666666666667</v>
      </c>
      <c r="AM51" s="81" t="n">
        <f aca="false">SUMPRODUCT(($F$6:$F$43&lt;AM$50)*($G$6:$G$43&gt;=AM$50)*BX$6:BX$43)</f>
        <v>41.0666666666667</v>
      </c>
      <c r="AN51" s="81" t="n">
        <f aca="false">SUMPRODUCT(($F$6:$F$43&lt;AN$50)*($G$6:$G$43&gt;=AN$50)*BX$6:BX$43)</f>
        <v>41.0666666666667</v>
      </c>
      <c r="AO51" s="81" t="n">
        <f aca="false">SUMPRODUCT(($F$6:$F$43&lt;AO$50)*($G$6:$G$43&gt;=AO$50)*BX$6:BX$43)</f>
        <v>41.0666666666667</v>
      </c>
      <c r="AP51" s="81" t="n">
        <f aca="false">SUMPRODUCT(($F$6:$F$43&lt;AP$50)*($G$6:$G$43&gt;=AP$50)*BX$6:BX$43)</f>
        <v>41.0666666666667</v>
      </c>
      <c r="AQ51" s="81" t="n">
        <f aca="false">SUMPRODUCT(($F$6:$F$43&lt;AQ$50)*($G$6:$G$43&gt;=AQ$50)*BX$6:BX$43)</f>
        <v>41.0666666666667</v>
      </c>
      <c r="AR51" s="81" t="n">
        <f aca="false">SUMPRODUCT(($F$6:$F$43&lt;AR$50)*($G$6:$G$43&gt;=AR$50)*BX$6:BX$43)</f>
        <v>33.0666666666667</v>
      </c>
      <c r="AS51" s="81" t="n">
        <f aca="false">SUMPRODUCT(($F$6:$F$43&lt;AS$50)*($G$6:$G$43&gt;=AS$50)*BX$6:BX$43)</f>
        <v>43.5666666666667</v>
      </c>
      <c r="AT51" s="81" t="n">
        <f aca="false">SUMPRODUCT(($F$6:$F$43&lt;AT$50)*($G$6:$G$43&gt;=AT$50)*BX$6:BX$43)</f>
        <v>43.5666666666667</v>
      </c>
      <c r="AU51" s="81" t="n">
        <f aca="false">SUMPRODUCT(($F$6:$F$43&lt;AU$50)*($G$6:$G$43&gt;=AU$50)*BX$6:BX$43)</f>
        <v>43.5666666666667</v>
      </c>
      <c r="AV51" s="81" t="n">
        <f aca="false">SUMPRODUCT(($F$6:$F$43&lt;AV$50)*($G$6:$G$43&gt;=AV$50)*BX$6:BX$43)</f>
        <v>43.5666666666667</v>
      </c>
      <c r="AW51" s="81" t="n">
        <f aca="false">SUMPRODUCT(($F$6:$F$43&lt;AW$50)*($G$6:$G$43&gt;=AW$50)*BX$6:BX$43)</f>
        <v>42.1666666666667</v>
      </c>
      <c r="AX51" s="81" t="n">
        <f aca="false">SUMPRODUCT(($F$6:$F$43&lt;AX$50)*($G$6:$G$43&gt;=AX$50)*BX$6:BX$43)</f>
        <v>42.1666666666667</v>
      </c>
      <c r="AY51" s="81" t="n">
        <f aca="false">SUMPRODUCT(($F$6:$F$43&lt;AY$50)*($G$6:$G$43&gt;=AY$50)*BX$6:BX$43)</f>
        <v>25</v>
      </c>
      <c r="AZ51" s="81" t="n">
        <f aca="false">SUMPRODUCT(($F$6:$F$43&lt;AZ$50)*($G$6:$G$43&gt;=AZ$50)*BX$6:BX$43)</f>
        <v>25</v>
      </c>
      <c r="BA51" s="81" t="n">
        <f aca="false">SUMPRODUCT(($F$6:$F$43&lt;BA$50)*($G$6:$G$43&gt;=BA$50)*BX$6:BX$43)</f>
        <v>44</v>
      </c>
      <c r="BB51" s="81" t="n">
        <f aca="false">SUMPRODUCT(($F$6:$F$43&lt;BB$50)*($G$6:$G$43&gt;=BB$50)*BX$6:BX$43)</f>
        <v>44</v>
      </c>
      <c r="BC51" s="81" t="n">
        <f aca="false">SUMPRODUCT(($F$6:$F$43&lt;BC$50)*($G$6:$G$43&gt;=BC$50)*BX$6:BX$43)</f>
        <v>43.5</v>
      </c>
      <c r="BD51" s="81" t="n">
        <f aca="false">SUMPRODUCT(($F$6:$F$43&lt;BD$50)*($G$6:$G$43&gt;=BD$50)*BX$6:BX$43)</f>
        <v>43.5</v>
      </c>
      <c r="BE51" s="81" t="n">
        <f aca="false">SUMPRODUCT(($F$6:$F$43&lt;BE$50)*($G$6:$G$43&gt;=BE$50)*BX$6:BX$43)</f>
        <v>25</v>
      </c>
      <c r="BF51" s="81" t="n">
        <f aca="false">SUMPRODUCT(($F$6:$F$43&lt;BF$50)*($G$6:$G$43&gt;=BF$50)*BX$6:BX$43)</f>
        <v>25</v>
      </c>
      <c r="BG51" s="81" t="n">
        <f aca="false">SUMPRODUCT(($F$6:$F$43&lt;BG$50)*($G$6:$G$43&gt;=BG$50)*BX$6:BX$43)</f>
        <v>25</v>
      </c>
      <c r="BH51" s="81" t="n">
        <f aca="false">SUMPRODUCT(($F$6:$F$43&lt;BH$50)*($G$6:$G$43&gt;=BH$50)*BX$6:BX$43)</f>
        <v>25</v>
      </c>
      <c r="BI51" s="81" t="n">
        <f aca="false">SUMPRODUCT(($F$6:$F$43&lt;BI$50)*($G$6:$G$43&gt;=BI$50)*BX$6:BX$43)</f>
        <v>25</v>
      </c>
      <c r="BJ51" s="81" t="n">
        <f aca="false">SUMPRODUCT(($F$6:$F$43&lt;BJ$50)*($G$6:$G$43&gt;=BJ$50)*BX$6:BX$43)</f>
        <v>25</v>
      </c>
      <c r="BK51" s="81" t="n">
        <f aca="false">SUMPRODUCT(($F$6:$F$43&lt;BK$50)*($G$6:$G$43&gt;=BK$50)*BX$6:BX$43)</f>
        <v>25</v>
      </c>
      <c r="BL51" s="81" t="n">
        <f aca="false">SUMPRODUCT(($F$6:$F$43&lt;BL$50)*($G$6:$G$43&gt;=BL$50)*BX$6:BX$43)</f>
        <v>25</v>
      </c>
      <c r="BM51" s="81" t="n">
        <f aca="false">SUMPRODUCT(($F$6:$F$43&lt;BM$50)*($G$6:$G$43&gt;=BM$50)*BX$6:BX$43)</f>
        <v>44</v>
      </c>
    </row>
    <row r="52" customFormat="false" ht="15" hidden="false" customHeight="false" outlineLevel="0" collapsed="false">
      <c r="A52" s="1" t="s">
        <v>1391</v>
      </c>
      <c r="B52" s="61" t="n">
        <f aca="false">SUM(R52:BM52)</f>
        <v>1486</v>
      </c>
      <c r="C52" s="77" t="n">
        <f aca="false">MAX(R52:BM52)</f>
        <v>44</v>
      </c>
      <c r="D52" s="80" t="n">
        <f aca="false">B52/1920</f>
        <v>0.773958333333333</v>
      </c>
      <c r="R52" s="81" t="n">
        <f aca="false">SUMPRODUCT(($F$6:$F$43&lt;R$50)*($G$6:$G$43&gt;=R$50)*BY$6:BY$43)</f>
        <v>0</v>
      </c>
      <c r="S52" s="81" t="n">
        <f aca="false">SUMPRODUCT(($F$6:$F$43&lt;S$50)*($G$6:$G$43&gt;=S$50)*BY$6:BY$43)</f>
        <v>43.5</v>
      </c>
      <c r="T52" s="81" t="n">
        <f aca="false">SUMPRODUCT(($F$6:$F$43&lt;T$50)*($G$6:$G$43&gt;=T$50)*BY$6:BY$43)</f>
        <v>43.5</v>
      </c>
      <c r="U52" s="81" t="n">
        <f aca="false">SUMPRODUCT(($F$6:$F$43&lt;U$50)*($G$6:$G$43&gt;=U$50)*BY$6:BY$43)</f>
        <v>7</v>
      </c>
      <c r="V52" s="81" t="n">
        <f aca="false">SUMPRODUCT(($F$6:$F$43&lt;V$50)*($G$6:$G$43&gt;=V$50)*BY$6:BY$43)</f>
        <v>43.6666666666667</v>
      </c>
      <c r="W52" s="81" t="n">
        <f aca="false">SUMPRODUCT(($F$6:$F$43&lt;W$50)*($G$6:$G$43&gt;=W$50)*BY$6:BY$43)</f>
        <v>43.6666666666667</v>
      </c>
      <c r="X52" s="81" t="n">
        <f aca="false">SUMPRODUCT(($F$6:$F$43&lt;X$50)*($G$6:$G$43&gt;=X$50)*BY$6:BY$43)</f>
        <v>43.6666666666667</v>
      </c>
      <c r="Y52" s="81" t="n">
        <f aca="false">SUMPRODUCT(($F$6:$F$43&lt;Y$50)*($G$6:$G$43&gt;=Y$50)*BY$6:BY$43)</f>
        <v>43</v>
      </c>
      <c r="Z52" s="81" t="n">
        <f aca="false">SUMPRODUCT(($F$6:$F$43&lt;Z$50)*($G$6:$G$43&gt;=Z$50)*BY$6:BY$43)</f>
        <v>43</v>
      </c>
      <c r="AA52" s="81" t="n">
        <f aca="false">SUMPRODUCT(($F$6:$F$43&lt;AA$50)*($G$6:$G$43&gt;=AA$50)*BY$6:BY$43)</f>
        <v>43</v>
      </c>
      <c r="AB52" s="81" t="n">
        <f aca="false">SUMPRODUCT(($F$6:$F$43&lt;AB$50)*($G$6:$G$43&gt;=AB$50)*BY$6:BY$43)</f>
        <v>43</v>
      </c>
      <c r="AC52" s="81" t="n">
        <f aca="false">SUMPRODUCT(($F$6:$F$43&lt;AC$50)*($G$6:$G$43&gt;=AC$50)*BY$6:BY$43)</f>
        <v>43</v>
      </c>
      <c r="AD52" s="81" t="n">
        <f aca="false">SUMPRODUCT(($F$6:$F$43&lt;AD$50)*($G$6:$G$43&gt;=AD$50)*BY$6:BY$43)</f>
        <v>43</v>
      </c>
      <c r="AE52" s="81" t="n">
        <f aca="false">SUMPRODUCT(($F$6:$F$43&lt;AE$50)*($G$6:$G$43&gt;=AE$50)*BY$6:BY$43)</f>
        <v>43</v>
      </c>
      <c r="AF52" s="81" t="n">
        <f aca="false">SUMPRODUCT(($F$6:$F$43&lt;AF$50)*($G$6:$G$43&gt;=AF$50)*BY$6:BY$43)</f>
        <v>12.3333333333333</v>
      </c>
      <c r="AG52" s="81" t="n">
        <f aca="false">SUMPRODUCT(($F$6:$F$43&lt;AG$50)*($G$6:$G$43&gt;=AG$50)*BY$6:BY$43)</f>
        <v>44</v>
      </c>
      <c r="AH52" s="81" t="n">
        <f aca="false">SUMPRODUCT(($F$6:$F$43&lt;AH$50)*($G$6:$G$43&gt;=AH$50)*BY$6:BY$43)</f>
        <v>15</v>
      </c>
      <c r="AI52" s="81" t="n">
        <f aca="false">SUMPRODUCT(($F$6:$F$43&lt;AI$50)*($G$6:$G$43&gt;=AI$50)*BY$6:BY$43)</f>
        <v>43.5714285714286</v>
      </c>
      <c r="AJ52" s="81" t="n">
        <f aca="false">SUMPRODUCT(($F$6:$F$43&lt;AJ$50)*($G$6:$G$43&gt;=AJ$50)*BY$6:BY$43)</f>
        <v>43.5714285714286</v>
      </c>
      <c r="AK52" s="81" t="n">
        <f aca="false">SUMPRODUCT(($F$6:$F$43&lt;AK$50)*($G$6:$G$43&gt;=AK$50)*BY$6:BY$43)</f>
        <v>43.5714285714286</v>
      </c>
      <c r="AL52" s="81" t="n">
        <f aca="false">SUMPRODUCT(($F$6:$F$43&lt;AL$50)*($G$6:$G$43&gt;=AL$50)*BY$6:BY$43)</f>
        <v>43.5714285714286</v>
      </c>
      <c r="AM52" s="81" t="n">
        <f aca="false">SUMPRODUCT(($F$6:$F$43&lt;AM$50)*($G$6:$G$43&gt;=AM$50)*BY$6:BY$43)</f>
        <v>43.5714285714286</v>
      </c>
      <c r="AN52" s="81" t="n">
        <f aca="false">SUMPRODUCT(($F$6:$F$43&lt;AN$50)*($G$6:$G$43&gt;=AN$50)*BY$6:BY$43)</f>
        <v>43.5714285714286</v>
      </c>
      <c r="AO52" s="81" t="n">
        <f aca="false">SUMPRODUCT(($F$6:$F$43&lt;AO$50)*($G$6:$G$43&gt;=AO$50)*BY$6:BY$43)</f>
        <v>43.5714285714286</v>
      </c>
      <c r="AP52" s="81" t="n">
        <f aca="false">SUMPRODUCT(($F$6:$F$43&lt;AP$50)*($G$6:$G$43&gt;=AP$50)*BY$6:BY$43)</f>
        <v>43.5714285714286</v>
      </c>
      <c r="AQ52" s="81" t="n">
        <f aca="false">SUMPRODUCT(($F$6:$F$43&lt;AQ$50)*($G$6:$G$43&gt;=AQ$50)*BY$6:BY$43)</f>
        <v>43.5714285714286</v>
      </c>
      <c r="AR52" s="81" t="n">
        <f aca="false">SUMPRODUCT(($F$6:$F$43&lt;AR$50)*($G$6:$G$43&gt;=AR$50)*BY$6:BY$43)</f>
        <v>31.2380952380952</v>
      </c>
      <c r="AS52" s="81" t="n">
        <f aca="false">SUMPRODUCT(($F$6:$F$43&lt;AS$50)*($G$6:$G$43&gt;=AS$50)*BY$6:BY$43)</f>
        <v>43.5714285714286</v>
      </c>
      <c r="AT52" s="81" t="n">
        <f aca="false">SUMPRODUCT(($F$6:$F$43&lt;AT$50)*($G$6:$G$43&gt;=AT$50)*BY$6:BY$43)</f>
        <v>43.5714285714286</v>
      </c>
      <c r="AU52" s="81" t="n">
        <f aca="false">SUMPRODUCT(($F$6:$F$43&lt;AU$50)*($G$6:$G$43&gt;=AU$50)*BY$6:BY$43)</f>
        <v>43.5714285714286</v>
      </c>
      <c r="AV52" s="81" t="n">
        <f aca="false">SUMPRODUCT(($F$6:$F$43&lt;AV$50)*($G$6:$G$43&gt;=AV$50)*BY$6:BY$43)</f>
        <v>43.5714285714286</v>
      </c>
      <c r="AW52" s="81" t="n">
        <f aca="false">SUMPRODUCT(($F$6:$F$43&lt;AW$50)*($G$6:$G$43&gt;=AW$50)*BY$6:BY$43)</f>
        <v>15</v>
      </c>
      <c r="AX52" s="81" t="n">
        <f aca="false">SUMPRODUCT(($F$6:$F$43&lt;AX$50)*($G$6:$G$43&gt;=AX$50)*BY$6:BY$43)</f>
        <v>15</v>
      </c>
      <c r="AY52" s="81" t="n">
        <f aca="false">SUMPRODUCT(($F$6:$F$43&lt;AY$50)*($G$6:$G$43&gt;=AY$50)*BY$6:BY$43)</f>
        <v>43.5</v>
      </c>
      <c r="AZ52" s="81" t="n">
        <f aca="false">SUMPRODUCT(($F$6:$F$43&lt;AZ$50)*($G$6:$G$43&gt;=AZ$50)*BY$6:BY$43)</f>
        <v>43.5</v>
      </c>
      <c r="BA52" s="81" t="n">
        <f aca="false">SUMPRODUCT(($F$6:$F$43&lt;BA$50)*($G$6:$G$43&gt;=BA$50)*BY$6:BY$43)</f>
        <v>43.5</v>
      </c>
      <c r="BB52" s="81" t="n">
        <f aca="false">SUMPRODUCT(($F$6:$F$43&lt;BB$50)*($G$6:$G$43&gt;=BB$50)*BY$6:BY$43)</f>
        <v>43.5</v>
      </c>
      <c r="BC52" s="81" t="n">
        <f aca="false">SUMPRODUCT(($F$6:$F$43&lt;BC$50)*($G$6:$G$43&gt;=BC$50)*BY$6:BY$43)</f>
        <v>43.5</v>
      </c>
      <c r="BD52" s="81" t="n">
        <f aca="false">SUMPRODUCT(($F$6:$F$43&lt;BD$50)*($G$6:$G$43&gt;=BD$50)*BY$6:BY$43)</f>
        <v>43.5</v>
      </c>
      <c r="BE52" s="81" t="n">
        <f aca="false">SUMPRODUCT(($F$6:$F$43&lt;BE$50)*($G$6:$G$43&gt;=BE$50)*BY$6:BY$43)</f>
        <v>0</v>
      </c>
      <c r="BF52" s="81" t="n">
        <f aca="false">SUMPRODUCT(($F$6:$F$43&lt;BF$50)*($G$6:$G$43&gt;=BF$50)*BY$6:BY$43)</f>
        <v>0</v>
      </c>
      <c r="BG52" s="81" t="n">
        <f aca="false">SUMPRODUCT(($F$6:$F$43&lt;BG$50)*($G$6:$G$43&gt;=BG$50)*BY$6:BY$43)</f>
        <v>0</v>
      </c>
      <c r="BH52" s="81" t="n">
        <f aca="false">SUMPRODUCT(($F$6:$F$43&lt;BH$50)*($G$6:$G$43&gt;=BH$50)*BY$6:BY$43)</f>
        <v>0</v>
      </c>
      <c r="BI52" s="81" t="n">
        <f aca="false">SUMPRODUCT(($F$6:$F$43&lt;BI$50)*($G$6:$G$43&gt;=BI$50)*BY$6:BY$43)</f>
        <v>0</v>
      </c>
      <c r="BJ52" s="81" t="n">
        <f aca="false">SUMPRODUCT(($F$6:$F$43&lt;BJ$50)*($G$6:$G$43&gt;=BJ$50)*BY$6:BY$43)</f>
        <v>0</v>
      </c>
      <c r="BK52" s="81" t="n">
        <f aca="false">SUMPRODUCT(($F$6:$F$43&lt;BK$50)*($G$6:$G$43&gt;=BK$50)*BY$6:BY$43)</f>
        <v>0</v>
      </c>
      <c r="BL52" s="81" t="n">
        <f aca="false">SUMPRODUCT(($F$6:$F$43&lt;BL$50)*($G$6:$G$43&gt;=BL$50)*BY$6:BY$43)</f>
        <v>0</v>
      </c>
      <c r="BM52" s="81" t="n">
        <f aca="false">SUMPRODUCT(($F$6:$F$43&lt;BM$50)*($G$6:$G$43&gt;=BM$50)*BY$6:BY$43)</f>
        <v>0</v>
      </c>
    </row>
    <row r="53" customFormat="false" ht="15" hidden="false" customHeight="false" outlineLevel="0" collapsed="false">
      <c r="A53" s="1" t="s">
        <v>1385</v>
      </c>
      <c r="B53" s="61" t="n">
        <f aca="false">SUM(R53:BM53)</f>
        <v>1799</v>
      </c>
      <c r="C53" s="77" t="n">
        <f aca="false">MAX(R53:BM53)</f>
        <v>46.5</v>
      </c>
      <c r="D53" s="80" t="n">
        <f aca="false">B53/1920</f>
        <v>0.936979166666667</v>
      </c>
      <c r="R53" s="81" t="n">
        <f aca="false">SUMPRODUCT(($F$6:$F$43&lt;R$50)*($G$6:$G$43&gt;=R$50)*BZ$6:BZ$43)</f>
        <v>0</v>
      </c>
      <c r="S53" s="81" t="n">
        <f aca="false">SUMPRODUCT(($F$6:$F$43&lt;S$50)*($G$6:$G$43&gt;=S$50)*BZ$6:BZ$43)</f>
        <v>43.6666666666667</v>
      </c>
      <c r="T53" s="81" t="n">
        <f aca="false">SUMPRODUCT(($F$6:$F$43&lt;T$50)*($G$6:$G$43&gt;=T$50)*BZ$6:BZ$43)</f>
        <v>43.6666666666667</v>
      </c>
      <c r="U53" s="81" t="n">
        <f aca="false">SUMPRODUCT(($F$6:$F$43&lt;U$50)*($G$6:$G$43&gt;=U$50)*BZ$6:BZ$43)</f>
        <v>43.6666666666667</v>
      </c>
      <c r="V53" s="81" t="n">
        <f aca="false">SUMPRODUCT(($F$6:$F$43&lt;V$50)*($G$6:$G$43&gt;=V$50)*BZ$6:BZ$43)</f>
        <v>45.3333333333333</v>
      </c>
      <c r="W53" s="81" t="n">
        <f aca="false">SUMPRODUCT(($F$6:$F$43&lt;W$50)*($G$6:$G$43&gt;=W$50)*BZ$6:BZ$43)</f>
        <v>45.3333333333333</v>
      </c>
      <c r="X53" s="81" t="n">
        <f aca="false">SUMPRODUCT(($F$6:$F$43&lt;X$50)*($G$6:$G$43&gt;=X$50)*BZ$6:BZ$43)</f>
        <v>45.3333333333333</v>
      </c>
      <c r="Y53" s="81" t="n">
        <f aca="false">SUMPRODUCT(($F$6:$F$43&lt;Y$50)*($G$6:$G$43&gt;=Y$50)*BZ$6:BZ$43)</f>
        <v>43.6</v>
      </c>
      <c r="Z53" s="81" t="n">
        <f aca="false">SUMPRODUCT(($F$6:$F$43&lt;Z$50)*($G$6:$G$43&gt;=Z$50)*BZ$6:BZ$43)</f>
        <v>43.6</v>
      </c>
      <c r="AA53" s="81" t="n">
        <f aca="false">SUMPRODUCT(($F$6:$F$43&lt;AA$50)*($G$6:$G$43&gt;=AA$50)*BZ$6:BZ$43)</f>
        <v>43.6</v>
      </c>
      <c r="AB53" s="81" t="n">
        <f aca="false">SUMPRODUCT(($F$6:$F$43&lt;AB$50)*($G$6:$G$43&gt;=AB$50)*BZ$6:BZ$43)</f>
        <v>43.6</v>
      </c>
      <c r="AC53" s="81" t="n">
        <f aca="false">SUMPRODUCT(($F$6:$F$43&lt;AC$50)*($G$6:$G$43&gt;=AC$50)*BZ$6:BZ$43)</f>
        <v>43.6</v>
      </c>
      <c r="AD53" s="81" t="n">
        <f aca="false">SUMPRODUCT(($F$6:$F$43&lt;AD$50)*($G$6:$G$43&gt;=AD$50)*BZ$6:BZ$43)</f>
        <v>43.5</v>
      </c>
      <c r="AE53" s="81" t="n">
        <f aca="false">SUMPRODUCT(($F$6:$F$43&lt;AE$50)*($G$6:$G$43&gt;=AE$50)*BZ$6:BZ$43)</f>
        <v>43.5</v>
      </c>
      <c r="AF53" s="81" t="n">
        <f aca="false">SUMPRODUCT(($F$6:$F$43&lt;AF$50)*($G$6:$G$43&gt;=AF$50)*BZ$6:BZ$43)</f>
        <v>43.5</v>
      </c>
      <c r="AG53" s="81" t="n">
        <f aca="false">SUMPRODUCT(($F$6:$F$43&lt;AG$50)*($G$6:$G$43&gt;=AG$50)*BZ$6:BZ$43)</f>
        <v>43.5833333333333</v>
      </c>
      <c r="AH53" s="81" t="n">
        <f aca="false">SUMPRODUCT(($F$6:$F$43&lt;AH$50)*($G$6:$G$43&gt;=AH$50)*BZ$6:BZ$43)</f>
        <v>43.5833333333333</v>
      </c>
      <c r="AI53" s="81" t="n">
        <f aca="false">SUMPRODUCT(($F$6:$F$43&lt;AI$50)*($G$6:$G$43&gt;=AI$50)*BZ$6:BZ$43)</f>
        <v>43.5833333333333</v>
      </c>
      <c r="AJ53" s="81" t="n">
        <f aca="false">SUMPRODUCT(($F$6:$F$43&lt;AJ$50)*($G$6:$G$43&gt;=AJ$50)*BZ$6:BZ$43)</f>
        <v>43.5833333333333</v>
      </c>
      <c r="AK53" s="81" t="n">
        <f aca="false">SUMPRODUCT(($F$6:$F$43&lt;AK$50)*($G$6:$G$43&gt;=AK$50)*BZ$6:BZ$43)</f>
        <v>43.5833333333333</v>
      </c>
      <c r="AL53" s="81" t="n">
        <f aca="false">SUMPRODUCT(($F$6:$F$43&lt;AL$50)*($G$6:$G$43&gt;=AL$50)*BZ$6:BZ$43)</f>
        <v>43.5833333333333</v>
      </c>
      <c r="AM53" s="81" t="n">
        <f aca="false">SUMPRODUCT(($F$6:$F$43&lt;AM$50)*($G$6:$G$43&gt;=AM$50)*BZ$6:BZ$43)</f>
        <v>43.5833333333333</v>
      </c>
      <c r="AN53" s="81" t="n">
        <f aca="false">SUMPRODUCT(($F$6:$F$43&lt;AN$50)*($G$6:$G$43&gt;=AN$50)*BZ$6:BZ$43)</f>
        <v>43.5833333333333</v>
      </c>
      <c r="AO53" s="81" t="n">
        <f aca="false">SUMPRODUCT(($F$6:$F$43&lt;AO$50)*($G$6:$G$43&gt;=AO$50)*BZ$6:BZ$43)</f>
        <v>43.5833333333333</v>
      </c>
      <c r="AP53" s="81" t="n">
        <f aca="false">SUMPRODUCT(($F$6:$F$43&lt;AP$50)*($G$6:$G$43&gt;=AP$50)*BZ$6:BZ$43)</f>
        <v>43.5833333333333</v>
      </c>
      <c r="AQ53" s="81" t="n">
        <f aca="false">SUMPRODUCT(($F$6:$F$43&lt;AQ$50)*($G$6:$G$43&gt;=AQ$50)*BZ$6:BZ$43)</f>
        <v>43.5833333333333</v>
      </c>
      <c r="AR53" s="81" t="n">
        <f aca="false">SUMPRODUCT(($F$6:$F$43&lt;AR$50)*($G$6:$G$43&gt;=AR$50)*BZ$6:BZ$43)</f>
        <v>41.5833333333333</v>
      </c>
      <c r="AS53" s="81" t="n">
        <f aca="false">SUMPRODUCT(($F$6:$F$43&lt;AS$50)*($G$6:$G$43&gt;=AS$50)*BZ$6:BZ$43)</f>
        <v>43.6666666666667</v>
      </c>
      <c r="AT53" s="81" t="n">
        <f aca="false">SUMPRODUCT(($F$6:$F$43&lt;AT$50)*($G$6:$G$43&gt;=AT$50)*BZ$6:BZ$43)</f>
        <v>43.6666666666667</v>
      </c>
      <c r="AU53" s="81" t="n">
        <f aca="false">SUMPRODUCT(($F$6:$F$43&lt;AU$50)*($G$6:$G$43&gt;=AU$50)*BZ$6:BZ$43)</f>
        <v>43.6666666666667</v>
      </c>
      <c r="AV53" s="81" t="n">
        <f aca="false">SUMPRODUCT(($F$6:$F$43&lt;AV$50)*($G$6:$G$43&gt;=AV$50)*BZ$6:BZ$43)</f>
        <v>43.6666666666667</v>
      </c>
      <c r="AW53" s="81" t="n">
        <f aca="false">SUMPRODUCT(($F$6:$F$43&lt;AW$50)*($G$6:$G$43&gt;=AW$50)*BZ$6:BZ$43)</f>
        <v>43.6666666666667</v>
      </c>
      <c r="AX53" s="81" t="n">
        <f aca="false">SUMPRODUCT(($F$6:$F$43&lt;AX$50)*($G$6:$G$43&gt;=AX$50)*BZ$6:BZ$43)</f>
        <v>38.1666666666667</v>
      </c>
      <c r="AY53" s="81" t="n">
        <f aca="false">SUMPRODUCT(($F$6:$F$43&lt;AY$50)*($G$6:$G$43&gt;=AY$50)*BZ$6:BZ$43)</f>
        <v>46.5</v>
      </c>
      <c r="AZ53" s="81" t="n">
        <f aca="false">SUMPRODUCT(($F$6:$F$43&lt;AZ$50)*($G$6:$G$43&gt;=AZ$50)*BZ$6:BZ$43)</f>
        <v>46.5</v>
      </c>
      <c r="BA53" s="81" t="n">
        <f aca="false">SUMPRODUCT(($F$6:$F$43&lt;BA$50)*($G$6:$G$43&gt;=BA$50)*BZ$6:BZ$43)</f>
        <v>43.5</v>
      </c>
      <c r="BB53" s="81" t="n">
        <f aca="false">SUMPRODUCT(($F$6:$F$43&lt;BB$50)*($G$6:$G$43&gt;=BB$50)*BZ$6:BZ$43)</f>
        <v>43.5</v>
      </c>
      <c r="BC53" s="81" t="n">
        <f aca="false">SUMPRODUCT(($F$6:$F$43&lt;BC$50)*($G$6:$G$43&gt;=BC$50)*BZ$6:BZ$43)</f>
        <v>43.5</v>
      </c>
      <c r="BD53" s="81" t="n">
        <f aca="false">SUMPRODUCT(($F$6:$F$43&lt;BD$50)*($G$6:$G$43&gt;=BD$50)*BZ$6:BZ$43)</f>
        <v>43.5</v>
      </c>
      <c r="BE53" s="81" t="n">
        <f aca="false">SUMPRODUCT(($F$6:$F$43&lt;BE$50)*($G$6:$G$43&gt;=BE$50)*BZ$6:BZ$43)</f>
        <v>46.3333333333333</v>
      </c>
      <c r="BF53" s="81" t="n">
        <f aca="false">SUMPRODUCT(($F$6:$F$43&lt;BF$50)*($G$6:$G$43&gt;=BF$50)*BZ$6:BZ$43)</f>
        <v>46.3333333333333</v>
      </c>
      <c r="BG53" s="81" t="n">
        <f aca="false">SUMPRODUCT(($F$6:$F$43&lt;BG$50)*($G$6:$G$43&gt;=BG$50)*BZ$6:BZ$43)</f>
        <v>46.3333333333333</v>
      </c>
      <c r="BH53" s="81" t="n">
        <f aca="false">SUMPRODUCT(($F$6:$F$43&lt;BH$50)*($G$6:$G$43&gt;=BH$50)*BZ$6:BZ$43)</f>
        <v>0</v>
      </c>
      <c r="BI53" s="81" t="n">
        <f aca="false">SUMPRODUCT(($F$6:$F$43&lt;BI$50)*($G$6:$G$43&gt;=BI$50)*BZ$6:BZ$43)</f>
        <v>0</v>
      </c>
      <c r="BJ53" s="81" t="n">
        <f aca="false">SUMPRODUCT(($F$6:$F$43&lt;BJ$50)*($G$6:$G$43&gt;=BJ$50)*BZ$6:BZ$43)</f>
        <v>0</v>
      </c>
      <c r="BK53" s="81" t="n">
        <f aca="false">SUMPRODUCT(($F$6:$F$43&lt;BK$50)*($G$6:$G$43&gt;=BK$50)*BZ$6:BZ$43)</f>
        <v>0</v>
      </c>
      <c r="BL53" s="81" t="n">
        <f aca="false">SUMPRODUCT(($F$6:$F$43&lt;BL$50)*($G$6:$G$43&gt;=BL$50)*BZ$6:BZ$43)</f>
        <v>0</v>
      </c>
      <c r="BM53" s="81" t="n">
        <f aca="false">SUMPRODUCT(($F$6:$F$43&lt;BM$50)*($G$6:$G$43&gt;=BM$50)*BZ$6:BZ$43)</f>
        <v>0</v>
      </c>
    </row>
    <row r="54" customFormat="false" ht="15" hidden="false" customHeight="false" outlineLevel="0" collapsed="false">
      <c r="A54" s="1" t="s">
        <v>1388</v>
      </c>
      <c r="B54" s="61" t="n">
        <f aca="false">SUM(R54:BM54)</f>
        <v>1691</v>
      </c>
      <c r="C54" s="77" t="n">
        <f aca="false">MAX(R54:BM54)</f>
        <v>44</v>
      </c>
      <c r="D54" s="80" t="n">
        <f aca="false">B54/1920</f>
        <v>0.880729166666667</v>
      </c>
      <c r="R54" s="81" t="n">
        <f aca="false">SUMPRODUCT(($F$6:$F$43&lt;R$50)*($G$6:$G$43&gt;=R$50)*CA$6:CA$43)</f>
        <v>0</v>
      </c>
      <c r="S54" s="81" t="n">
        <f aca="false">SUMPRODUCT(($F$6:$F$43&lt;S$50)*($G$6:$G$43&gt;=S$50)*CA$6:CA$43)</f>
        <v>43.6666666666667</v>
      </c>
      <c r="T54" s="81" t="n">
        <f aca="false">SUMPRODUCT(($F$6:$F$43&lt;T$50)*($G$6:$G$43&gt;=T$50)*CA$6:CA$43)</f>
        <v>43.6666666666667</v>
      </c>
      <c r="U54" s="81" t="n">
        <f aca="false">SUMPRODUCT(($F$6:$F$43&lt;U$50)*($G$6:$G$43&gt;=U$50)*CA$6:CA$43)</f>
        <v>43.6666666666667</v>
      </c>
      <c r="V54" s="81" t="n">
        <f aca="false">SUMPRODUCT(($F$6:$F$43&lt;V$50)*($G$6:$G$43&gt;=V$50)*CA$6:CA$43)</f>
        <v>43.6666666666667</v>
      </c>
      <c r="W54" s="81" t="n">
        <f aca="false">SUMPRODUCT(($F$6:$F$43&lt;W$50)*($G$6:$G$43&gt;=W$50)*CA$6:CA$43)</f>
        <v>43.6666666666667</v>
      </c>
      <c r="X54" s="81" t="n">
        <f aca="false">SUMPRODUCT(($F$6:$F$43&lt;X$50)*($G$6:$G$43&gt;=X$50)*CA$6:CA$43)</f>
        <v>43.6666666666667</v>
      </c>
      <c r="Y54" s="81" t="n">
        <f aca="false">SUMPRODUCT(($F$6:$F$43&lt;Y$50)*($G$6:$G$43&gt;=Y$50)*CA$6:CA$43)</f>
        <v>43.55</v>
      </c>
      <c r="Z54" s="81" t="n">
        <f aca="false">SUMPRODUCT(($F$6:$F$43&lt;Z$50)*($G$6:$G$43&gt;=Z$50)*CA$6:CA$43)</f>
        <v>43.55</v>
      </c>
      <c r="AA54" s="81" t="n">
        <f aca="false">SUMPRODUCT(($F$6:$F$43&lt;AA$50)*($G$6:$G$43&gt;=AA$50)*CA$6:CA$43)</f>
        <v>43.55</v>
      </c>
      <c r="AB54" s="81" t="n">
        <f aca="false">SUMPRODUCT(($F$6:$F$43&lt;AB$50)*($G$6:$G$43&gt;=AB$50)*CA$6:CA$43)</f>
        <v>43.55</v>
      </c>
      <c r="AC54" s="81" t="n">
        <f aca="false">SUMPRODUCT(($F$6:$F$43&lt;AC$50)*($G$6:$G$43&gt;=AC$50)*CA$6:CA$43)</f>
        <v>11.8</v>
      </c>
      <c r="AD54" s="81" t="n">
        <f aca="false">SUMPRODUCT(($F$6:$F$43&lt;AD$50)*($G$6:$G$43&gt;=AD$50)*CA$6:CA$43)</f>
        <v>43.5</v>
      </c>
      <c r="AE54" s="81" t="n">
        <f aca="false">SUMPRODUCT(($F$6:$F$43&lt;AE$50)*($G$6:$G$43&gt;=AE$50)*CA$6:CA$43)</f>
        <v>43.5</v>
      </c>
      <c r="AF54" s="81" t="n">
        <f aca="false">SUMPRODUCT(($F$6:$F$43&lt;AF$50)*($G$6:$G$43&gt;=AF$50)*CA$6:CA$43)</f>
        <v>43.5</v>
      </c>
      <c r="AG54" s="81" t="n">
        <f aca="false">SUMPRODUCT(($F$6:$F$43&lt;AG$50)*($G$6:$G$43&gt;=AG$50)*CA$6:CA$43)</f>
        <v>43.5</v>
      </c>
      <c r="AH54" s="81" t="n">
        <f aca="false">SUMPRODUCT(($F$6:$F$43&lt;AH$50)*($G$6:$G$43&gt;=AH$50)*CA$6:CA$43)</f>
        <v>32.15</v>
      </c>
      <c r="AI54" s="81" t="n">
        <f aca="false">SUMPRODUCT(($F$6:$F$43&lt;AI$50)*($G$6:$G$43&gt;=AI$50)*CA$6:CA$43)</f>
        <v>32.15</v>
      </c>
      <c r="AJ54" s="81" t="n">
        <f aca="false">SUMPRODUCT(($F$6:$F$43&lt;AJ$50)*($G$6:$G$43&gt;=AJ$50)*CA$6:CA$43)</f>
        <v>32.15</v>
      </c>
      <c r="AK54" s="81" t="n">
        <f aca="false">SUMPRODUCT(($F$6:$F$43&lt;AK$50)*($G$6:$G$43&gt;=AK$50)*CA$6:CA$43)</f>
        <v>32.15</v>
      </c>
      <c r="AL54" s="81" t="n">
        <f aca="false">SUMPRODUCT(($F$6:$F$43&lt;AL$50)*($G$6:$G$43&gt;=AL$50)*CA$6:CA$43)</f>
        <v>16.9</v>
      </c>
      <c r="AM54" s="81" t="n">
        <f aca="false">SUMPRODUCT(($F$6:$F$43&lt;AM$50)*($G$6:$G$43&gt;=AM$50)*CA$6:CA$43)</f>
        <v>16.9</v>
      </c>
      <c r="AN54" s="81" t="n">
        <f aca="false">SUMPRODUCT(($F$6:$F$43&lt;AN$50)*($G$6:$G$43&gt;=AN$50)*CA$6:CA$43)</f>
        <v>16.9</v>
      </c>
      <c r="AO54" s="81" t="n">
        <f aca="false">SUMPRODUCT(($F$6:$F$43&lt;AO$50)*($G$6:$G$43&gt;=AO$50)*CA$6:CA$43)</f>
        <v>16.9</v>
      </c>
      <c r="AP54" s="81" t="n">
        <f aca="false">SUMPRODUCT(($F$6:$F$43&lt;AP$50)*($G$6:$G$43&gt;=AP$50)*CA$6:CA$43)</f>
        <v>16.9</v>
      </c>
      <c r="AQ54" s="81" t="n">
        <f aca="false">SUMPRODUCT(($F$6:$F$43&lt;AQ$50)*($G$6:$G$43&gt;=AQ$50)*CA$6:CA$43)</f>
        <v>43.5666666666667</v>
      </c>
      <c r="AR54" s="81" t="n">
        <f aca="false">SUMPRODUCT(($F$6:$F$43&lt;AR$50)*($G$6:$G$43&gt;=AR$50)*CA$6:CA$43)</f>
        <v>26.6666666666667</v>
      </c>
      <c r="AS54" s="81" t="n">
        <f aca="false">SUMPRODUCT(($F$6:$F$43&lt;AS$50)*($G$6:$G$43&gt;=AS$50)*CA$6:CA$43)</f>
        <v>43.6666666666667</v>
      </c>
      <c r="AT54" s="81" t="n">
        <f aca="false">SUMPRODUCT(($F$6:$F$43&lt;AT$50)*($G$6:$G$43&gt;=AT$50)*CA$6:CA$43)</f>
        <v>43.6666666666667</v>
      </c>
      <c r="AU54" s="81" t="n">
        <f aca="false">SUMPRODUCT(($F$6:$F$43&lt;AU$50)*($G$6:$G$43&gt;=AU$50)*CA$6:CA$43)</f>
        <v>43.6666666666667</v>
      </c>
      <c r="AV54" s="81" t="n">
        <f aca="false">SUMPRODUCT(($F$6:$F$43&lt;AV$50)*($G$6:$G$43&gt;=AV$50)*CA$6:CA$43)</f>
        <v>43.6666666666667</v>
      </c>
      <c r="AW54" s="81" t="n">
        <f aca="false">SUMPRODUCT(($F$6:$F$43&lt;AW$50)*($G$6:$G$43&gt;=AW$50)*CA$6:CA$43)</f>
        <v>43.5</v>
      </c>
      <c r="AX54" s="81" t="n">
        <f aca="false">SUMPRODUCT(($F$6:$F$43&lt;AX$50)*($G$6:$G$43&gt;=AX$50)*CA$6:CA$43)</f>
        <v>43.5</v>
      </c>
      <c r="AY54" s="81" t="n">
        <f aca="false">SUMPRODUCT(($F$6:$F$43&lt;AY$50)*($G$6:$G$43&gt;=AY$50)*CA$6:CA$43)</f>
        <v>43.5</v>
      </c>
      <c r="AZ54" s="81" t="n">
        <f aca="false">SUMPRODUCT(($F$6:$F$43&lt;AZ$50)*($G$6:$G$43&gt;=AZ$50)*CA$6:CA$43)</f>
        <v>43.5</v>
      </c>
      <c r="BA54" s="81" t="n">
        <f aca="false">SUMPRODUCT(($F$6:$F$43&lt;BA$50)*($G$6:$G$43&gt;=BA$50)*CA$6:CA$43)</f>
        <v>43.5</v>
      </c>
      <c r="BB54" s="81" t="n">
        <f aca="false">SUMPRODUCT(($F$6:$F$43&lt;BB$50)*($G$6:$G$43&gt;=BB$50)*CA$6:CA$43)</f>
        <v>43.5</v>
      </c>
      <c r="BC54" s="81" t="n">
        <f aca="false">SUMPRODUCT(($F$6:$F$43&lt;BC$50)*($G$6:$G$43&gt;=BC$50)*CA$6:CA$43)</f>
        <v>44</v>
      </c>
      <c r="BD54" s="81" t="n">
        <f aca="false">SUMPRODUCT(($F$6:$F$43&lt;BD$50)*($G$6:$G$43&gt;=BD$50)*CA$6:CA$43)</f>
        <v>44</v>
      </c>
      <c r="BE54" s="81" t="n">
        <f aca="false">SUMPRODUCT(($F$6:$F$43&lt;BE$50)*($G$6:$G$43&gt;=BE$50)*CA$6:CA$43)</f>
        <v>43.6666666666667</v>
      </c>
      <c r="BF54" s="81" t="n">
        <f aca="false">SUMPRODUCT(($F$6:$F$43&lt;BF$50)*($G$6:$G$43&gt;=BF$50)*CA$6:CA$43)</f>
        <v>43.6666666666667</v>
      </c>
      <c r="BG54" s="81" t="n">
        <f aca="false">SUMPRODUCT(($F$6:$F$43&lt;BG$50)*($G$6:$G$43&gt;=BG$50)*CA$6:CA$43)</f>
        <v>43.6666666666667</v>
      </c>
      <c r="BH54" s="81" t="n">
        <f aca="false">SUMPRODUCT(($F$6:$F$43&lt;BH$50)*($G$6:$G$43&gt;=BH$50)*CA$6:CA$43)</f>
        <v>43.6666666666667</v>
      </c>
      <c r="BI54" s="81" t="n">
        <f aca="false">SUMPRODUCT(($F$6:$F$43&lt;BI$50)*($G$6:$G$43&gt;=BI$50)*CA$6:CA$43)</f>
        <v>43.6666666666667</v>
      </c>
      <c r="BJ54" s="81" t="n">
        <f aca="false">SUMPRODUCT(($F$6:$F$43&lt;BJ$50)*($G$6:$G$43&gt;=BJ$50)*CA$6:CA$43)</f>
        <v>43.6666666666667</v>
      </c>
      <c r="BK54" s="81" t="n">
        <f aca="false">SUMPRODUCT(($F$6:$F$43&lt;BK$50)*($G$6:$G$43&gt;=BK$50)*CA$6:CA$43)</f>
        <v>0</v>
      </c>
      <c r="BL54" s="81" t="n">
        <f aca="false">SUMPRODUCT(($F$6:$F$43&lt;BL$50)*($G$6:$G$43&gt;=BL$50)*CA$6:CA$43)</f>
        <v>0</v>
      </c>
      <c r="BM54" s="81" t="n">
        <f aca="false">SUMPRODUCT(($F$6:$F$43&lt;BM$50)*($G$6:$G$43&gt;=BM$50)*CA$6:CA$43)</f>
        <v>0</v>
      </c>
    </row>
    <row r="55" customFormat="false" ht="15" hidden="false" customHeight="false" outlineLevel="0" collapsed="false">
      <c r="A55" s="1" t="s">
        <v>1397</v>
      </c>
      <c r="B55" s="61" t="n">
        <f aca="false">SUM(R55:BM55)</f>
        <v>1772</v>
      </c>
      <c r="C55" s="77" t="n">
        <f aca="false">MAX(R55:BM55)</f>
        <v>43.7214285714286</v>
      </c>
      <c r="D55" s="80" t="n">
        <f aca="false">B55/1920</f>
        <v>0.922916666666667</v>
      </c>
      <c r="R55" s="81" t="n">
        <f aca="false">SUMPRODUCT(($F$6:$F$43&lt;R$50)*($G$6:$G$43&gt;=R$50)*CB$6:CB$43)</f>
        <v>36</v>
      </c>
      <c r="S55" s="81" t="n">
        <f aca="false">SUMPRODUCT(($F$6:$F$43&lt;S$50)*($G$6:$G$43&gt;=S$50)*CB$6:CB$43)</f>
        <v>22</v>
      </c>
      <c r="T55" s="81" t="n">
        <f aca="false">SUMPRODUCT(($F$6:$F$43&lt;T$50)*($G$6:$G$43&gt;=T$50)*CB$6:CB$43)</f>
        <v>22</v>
      </c>
      <c r="U55" s="81" t="n">
        <f aca="false">SUMPRODUCT(($F$6:$F$43&lt;U$50)*($G$6:$G$43&gt;=U$50)*CB$6:CB$43)</f>
        <v>22</v>
      </c>
      <c r="V55" s="81" t="n">
        <f aca="false">SUMPRODUCT(($F$6:$F$43&lt;V$50)*($G$6:$G$43&gt;=V$50)*CB$6:CB$43)</f>
        <v>43.6666666666667</v>
      </c>
      <c r="W55" s="81" t="n">
        <f aca="false">SUMPRODUCT(($F$6:$F$43&lt;W$50)*($G$6:$G$43&gt;=W$50)*CB$6:CB$43)</f>
        <v>43.6666666666667</v>
      </c>
      <c r="X55" s="81" t="n">
        <f aca="false">SUMPRODUCT(($F$6:$F$43&lt;X$50)*($G$6:$G$43&gt;=X$50)*CB$6:CB$43)</f>
        <v>43.6666666666667</v>
      </c>
      <c r="Y55" s="81" t="n">
        <f aca="false">SUMPRODUCT(($F$6:$F$43&lt;Y$50)*($G$6:$G$43&gt;=Y$50)*CB$6:CB$43)</f>
        <v>43.7214285714286</v>
      </c>
      <c r="Z55" s="81" t="n">
        <f aca="false">SUMPRODUCT(($F$6:$F$43&lt;Z$50)*($G$6:$G$43&gt;=Z$50)*CB$6:CB$43)</f>
        <v>43.7214285714286</v>
      </c>
      <c r="AA55" s="81" t="n">
        <f aca="false">SUMPRODUCT(($F$6:$F$43&lt;AA$50)*($G$6:$G$43&gt;=AA$50)*CB$6:CB$43)</f>
        <v>43.7214285714286</v>
      </c>
      <c r="AB55" s="81" t="n">
        <f aca="false">SUMPRODUCT(($F$6:$F$43&lt;AB$50)*($G$6:$G$43&gt;=AB$50)*CB$6:CB$43)</f>
        <v>43.7214285714286</v>
      </c>
      <c r="AC55" s="81" t="n">
        <f aca="false">SUMPRODUCT(($F$6:$F$43&lt;AC$50)*($G$6:$G$43&gt;=AC$50)*CB$6:CB$43)</f>
        <v>43.5714285714286</v>
      </c>
      <c r="AD55" s="81" t="n">
        <f aca="false">SUMPRODUCT(($F$6:$F$43&lt;AD$50)*($G$6:$G$43&gt;=AD$50)*CB$6:CB$43)</f>
        <v>34.9214285714286</v>
      </c>
      <c r="AE55" s="81" t="n">
        <f aca="false">SUMPRODUCT(($F$6:$F$43&lt;AE$50)*($G$6:$G$43&gt;=AE$50)*CB$6:CB$43)</f>
        <v>34.9214285714286</v>
      </c>
      <c r="AF55" s="81" t="n">
        <f aca="false">SUMPRODUCT(($F$6:$F$43&lt;AF$50)*($G$6:$G$43&gt;=AF$50)*CB$6:CB$43)</f>
        <v>43.6833333333333</v>
      </c>
      <c r="AG55" s="81" t="n">
        <f aca="false">SUMPRODUCT(($F$6:$F$43&lt;AG$50)*($G$6:$G$43&gt;=AG$50)*CB$6:CB$43)</f>
        <v>43.6833333333333</v>
      </c>
      <c r="AH55" s="81" t="n">
        <f aca="false">SUMPRODUCT(($F$6:$F$43&lt;AH$50)*($G$6:$G$43&gt;=AH$50)*CB$6:CB$43)</f>
        <v>43.6833333333333</v>
      </c>
      <c r="AI55" s="81" t="n">
        <f aca="false">SUMPRODUCT(($F$6:$F$43&lt;AI$50)*($G$6:$G$43&gt;=AI$50)*CB$6:CB$43)</f>
        <v>43.6833333333333</v>
      </c>
      <c r="AJ55" s="81" t="n">
        <f aca="false">SUMPRODUCT(($F$6:$F$43&lt;AJ$50)*($G$6:$G$43&gt;=AJ$50)*CB$6:CB$43)</f>
        <v>43.6833333333333</v>
      </c>
      <c r="AK55" s="81" t="n">
        <f aca="false">SUMPRODUCT(($F$6:$F$43&lt;AK$50)*($G$6:$G$43&gt;=AK$50)*CB$6:CB$43)</f>
        <v>43.6833333333333</v>
      </c>
      <c r="AL55" s="81" t="n">
        <f aca="false">SUMPRODUCT(($F$6:$F$43&lt;AL$50)*($G$6:$G$43&gt;=AL$50)*CB$6:CB$43)</f>
        <v>38.9333333333333</v>
      </c>
      <c r="AM55" s="81" t="n">
        <f aca="false">SUMPRODUCT(($F$6:$F$43&lt;AM$50)*($G$6:$G$43&gt;=AM$50)*CB$6:CB$43)</f>
        <v>38.9333333333333</v>
      </c>
      <c r="AN55" s="81" t="n">
        <f aca="false">SUMPRODUCT(($F$6:$F$43&lt;AN$50)*($G$6:$G$43&gt;=AN$50)*CB$6:CB$43)</f>
        <v>38.9333333333333</v>
      </c>
      <c r="AO55" s="81" t="n">
        <f aca="false">SUMPRODUCT(($F$6:$F$43&lt;AO$50)*($G$6:$G$43&gt;=AO$50)*CB$6:CB$43)</f>
        <v>38.9333333333333</v>
      </c>
      <c r="AP55" s="81" t="n">
        <f aca="false">SUMPRODUCT(($F$6:$F$43&lt;AP$50)*($G$6:$G$43&gt;=AP$50)*CB$6:CB$43)</f>
        <v>38.9333333333333</v>
      </c>
      <c r="AQ55" s="81" t="n">
        <f aca="false">SUMPRODUCT(($F$6:$F$43&lt;AQ$50)*($G$6:$G$43&gt;=AQ$50)*CB$6:CB$43)</f>
        <v>38.9333333333333</v>
      </c>
      <c r="AR55" s="81" t="n">
        <f aca="false">SUMPRODUCT(($F$6:$F$43&lt;AR$50)*($G$6:$G$43&gt;=AR$50)*CB$6:CB$43)</f>
        <v>43.6</v>
      </c>
      <c r="AS55" s="81" t="n">
        <f aca="false">SUMPRODUCT(($F$6:$F$43&lt;AS$50)*($G$6:$G$43&gt;=AS$50)*CB$6:CB$43)</f>
        <v>43.6</v>
      </c>
      <c r="AT55" s="81" t="n">
        <f aca="false">SUMPRODUCT(($F$6:$F$43&lt;AT$50)*($G$6:$G$43&gt;=AT$50)*CB$6:CB$43)</f>
        <v>43.6</v>
      </c>
      <c r="AU55" s="81" t="n">
        <f aca="false">SUMPRODUCT(($F$6:$F$43&lt;AU$50)*($G$6:$G$43&gt;=AU$50)*CB$6:CB$43)</f>
        <v>43.6</v>
      </c>
      <c r="AV55" s="81" t="n">
        <f aca="false">SUMPRODUCT(($F$6:$F$43&lt;AV$50)*($G$6:$G$43&gt;=AV$50)*CB$6:CB$43)</f>
        <v>19.1</v>
      </c>
      <c r="AW55" s="81" t="n">
        <f aca="false">SUMPRODUCT(($F$6:$F$43&lt;AW$50)*($G$6:$G$43&gt;=AW$50)*CB$6:CB$43)</f>
        <v>43.5</v>
      </c>
      <c r="AX55" s="81" t="n">
        <f aca="false">SUMPRODUCT(($F$6:$F$43&lt;AX$50)*($G$6:$G$43&gt;=AX$50)*CB$6:CB$43)</f>
        <v>29</v>
      </c>
      <c r="AY55" s="81" t="n">
        <f aca="false">SUMPRODUCT(($F$6:$F$43&lt;AY$50)*($G$6:$G$43&gt;=AY$50)*CB$6:CB$43)</f>
        <v>40</v>
      </c>
      <c r="AZ55" s="81" t="n">
        <f aca="false">SUMPRODUCT(($F$6:$F$43&lt;AZ$50)*($G$6:$G$43&gt;=AZ$50)*CB$6:CB$43)</f>
        <v>40</v>
      </c>
      <c r="BA55" s="81" t="n">
        <f aca="false">SUMPRODUCT(($F$6:$F$43&lt;BA$50)*($G$6:$G$43&gt;=BA$50)*CB$6:CB$43)</f>
        <v>27</v>
      </c>
      <c r="BB55" s="81" t="n">
        <f aca="false">SUMPRODUCT(($F$6:$F$43&lt;BB$50)*($G$6:$G$43&gt;=BB$50)*CB$6:CB$43)</f>
        <v>27</v>
      </c>
      <c r="BC55" s="81" t="n">
        <f aca="false">SUMPRODUCT(($F$6:$F$43&lt;BC$50)*($G$6:$G$43&gt;=BC$50)*CB$6:CB$43)</f>
        <v>43.5</v>
      </c>
      <c r="BD55" s="81" t="n">
        <f aca="false">SUMPRODUCT(($F$6:$F$43&lt;BD$50)*($G$6:$G$43&gt;=BD$50)*CB$6:CB$43)</f>
        <v>43.5</v>
      </c>
      <c r="BE55" s="81" t="n">
        <f aca="false">SUMPRODUCT(($F$6:$F$43&lt;BE$50)*($G$6:$G$43&gt;=BE$50)*CB$6:CB$43)</f>
        <v>43.3333333333333</v>
      </c>
      <c r="BF55" s="81" t="n">
        <f aca="false">SUMPRODUCT(($F$6:$F$43&lt;BF$50)*($G$6:$G$43&gt;=BF$50)*CB$6:CB$43)</f>
        <v>43.3333333333333</v>
      </c>
      <c r="BG55" s="81" t="n">
        <f aca="false">SUMPRODUCT(($F$6:$F$43&lt;BG$50)*($G$6:$G$43&gt;=BG$50)*CB$6:CB$43)</f>
        <v>43.3333333333333</v>
      </c>
      <c r="BH55" s="81" t="n">
        <f aca="false">SUMPRODUCT(($F$6:$F$43&lt;BH$50)*($G$6:$G$43&gt;=BH$50)*CB$6:CB$43)</f>
        <v>9.66666666666667</v>
      </c>
      <c r="BI55" s="81" t="n">
        <f aca="false">SUMPRODUCT(($F$6:$F$43&lt;BI$50)*($G$6:$G$43&gt;=BI$50)*CB$6:CB$43)</f>
        <v>9.66666666666667</v>
      </c>
      <c r="BJ55" s="81" t="n">
        <f aca="false">SUMPRODUCT(($F$6:$F$43&lt;BJ$50)*($G$6:$G$43&gt;=BJ$50)*CB$6:CB$43)</f>
        <v>9.66666666666667</v>
      </c>
      <c r="BK55" s="81" t="n">
        <f aca="false">SUMPRODUCT(($F$6:$F$43&lt;BK$50)*($G$6:$G$43&gt;=BK$50)*CB$6:CB$43)</f>
        <v>36.5</v>
      </c>
      <c r="BL55" s="81" t="n">
        <f aca="false">SUMPRODUCT(($F$6:$F$43&lt;BL$50)*($G$6:$G$43&gt;=BL$50)*CB$6:CB$43)</f>
        <v>36.5</v>
      </c>
      <c r="BM55" s="81" t="n">
        <f aca="false">SUMPRODUCT(($F$6:$F$43&lt;BM$50)*($G$6:$G$43&gt;=BM$50)*CB$6:CB$43)</f>
        <v>36</v>
      </c>
    </row>
    <row r="56" customFormat="false" ht="15" hidden="false" customHeight="false" outlineLevel="0" collapsed="false">
      <c r="A56" s="1" t="s">
        <v>1406</v>
      </c>
      <c r="B56" s="61" t="n">
        <f aca="false">SUM(R56:BM56)</f>
        <v>1663</v>
      </c>
      <c r="C56" s="77" t="n">
        <f aca="false">MAX(R56:BM56)</f>
        <v>46.5</v>
      </c>
      <c r="D56" s="80" t="n">
        <f aca="false">B56/1920</f>
        <v>0.866145833333333</v>
      </c>
      <c r="R56" s="81" t="n">
        <f aca="false">SUMPRODUCT(($F$6:$F$43&lt;R$50)*($G$6:$G$43&gt;=R$50)*CC$6:CC$43)</f>
        <v>0</v>
      </c>
      <c r="S56" s="81" t="n">
        <f aca="false">SUMPRODUCT(($F$6:$F$43&lt;S$50)*($G$6:$G$43&gt;=S$50)*CC$6:CC$43)</f>
        <v>43.6666666666667</v>
      </c>
      <c r="T56" s="81" t="n">
        <f aca="false">SUMPRODUCT(($F$6:$F$43&lt;T$50)*($G$6:$G$43&gt;=T$50)*CC$6:CC$43)</f>
        <v>43.6666666666667</v>
      </c>
      <c r="U56" s="81" t="n">
        <f aca="false">SUMPRODUCT(($F$6:$F$43&lt;U$50)*($G$6:$G$43&gt;=U$50)*CC$6:CC$43)</f>
        <v>43.6666666666667</v>
      </c>
      <c r="V56" s="81" t="n">
        <f aca="false">SUMPRODUCT(($F$6:$F$43&lt;V$50)*($G$6:$G$43&gt;=V$50)*CC$6:CC$43)</f>
        <v>43.6666666666667</v>
      </c>
      <c r="W56" s="81" t="n">
        <f aca="false">SUMPRODUCT(($F$6:$F$43&lt;W$50)*($G$6:$G$43&gt;=W$50)*CC$6:CC$43)</f>
        <v>43.6666666666667</v>
      </c>
      <c r="X56" s="81" t="n">
        <f aca="false">SUMPRODUCT(($F$6:$F$43&lt;X$50)*($G$6:$G$43&gt;=X$50)*CC$6:CC$43)</f>
        <v>43.6666666666667</v>
      </c>
      <c r="Y56" s="81" t="n">
        <f aca="false">SUMPRODUCT(($F$6:$F$43&lt;Y$50)*($G$6:$G$43&gt;=Y$50)*CC$6:CC$43)</f>
        <v>43.5</v>
      </c>
      <c r="Z56" s="81" t="n">
        <f aca="false">SUMPRODUCT(($F$6:$F$43&lt;Z$50)*($G$6:$G$43&gt;=Z$50)*CC$6:CC$43)</f>
        <v>43.5</v>
      </c>
      <c r="AA56" s="81" t="n">
        <f aca="false">SUMPRODUCT(($F$6:$F$43&lt;AA$50)*($G$6:$G$43&gt;=AA$50)*CC$6:CC$43)</f>
        <v>43.5</v>
      </c>
      <c r="AB56" s="81" t="n">
        <f aca="false">SUMPRODUCT(($F$6:$F$43&lt;AB$50)*($G$6:$G$43&gt;=AB$50)*CC$6:CC$43)</f>
        <v>43.5</v>
      </c>
      <c r="AC56" s="81" t="n">
        <f aca="false">SUMPRODUCT(($F$6:$F$43&lt;AC$50)*($G$6:$G$43&gt;=AC$50)*CC$6:CC$43)</f>
        <v>40</v>
      </c>
      <c r="AD56" s="81" t="n">
        <f aca="false">SUMPRODUCT(($F$6:$F$43&lt;AD$50)*($G$6:$G$43&gt;=AD$50)*CC$6:CC$43)</f>
        <v>44.25</v>
      </c>
      <c r="AE56" s="81" t="n">
        <f aca="false">SUMPRODUCT(($F$6:$F$43&lt;AE$50)*($G$6:$G$43&gt;=AE$50)*CC$6:CC$43)</f>
        <v>44.25</v>
      </c>
      <c r="AF56" s="81" t="n">
        <f aca="false">SUMPRODUCT(($F$6:$F$43&lt;AF$50)*($G$6:$G$43&gt;=AF$50)*CC$6:CC$43)</f>
        <v>44.25</v>
      </c>
      <c r="AG56" s="81" t="n">
        <f aca="false">SUMPRODUCT(($F$6:$F$43&lt;AG$50)*($G$6:$G$43&gt;=AG$50)*CC$6:CC$43)</f>
        <v>43.1666666666667</v>
      </c>
      <c r="AH56" s="81" t="n">
        <f aca="false">SUMPRODUCT(($F$6:$F$43&lt;AH$50)*($G$6:$G$43&gt;=AH$50)*CC$6:CC$43)</f>
        <v>43.5166666666667</v>
      </c>
      <c r="AI56" s="81" t="n">
        <f aca="false">SUMPRODUCT(($F$6:$F$43&lt;AI$50)*($G$6:$G$43&gt;=AI$50)*CC$6:CC$43)</f>
        <v>43.5166666666667</v>
      </c>
      <c r="AJ56" s="81" t="n">
        <f aca="false">SUMPRODUCT(($F$6:$F$43&lt;AJ$50)*($G$6:$G$43&gt;=AJ$50)*CC$6:CC$43)</f>
        <v>43.5166666666667</v>
      </c>
      <c r="AK56" s="81" t="n">
        <f aca="false">SUMPRODUCT(($F$6:$F$43&lt;AK$50)*($G$6:$G$43&gt;=AK$50)*CC$6:CC$43)</f>
        <v>43.5166666666667</v>
      </c>
      <c r="AL56" s="81" t="n">
        <f aca="false">SUMPRODUCT(($F$6:$F$43&lt;AL$50)*($G$6:$G$43&gt;=AL$50)*CC$6:CC$43)</f>
        <v>43.5166666666667</v>
      </c>
      <c r="AM56" s="81" t="n">
        <f aca="false">SUMPRODUCT(($F$6:$F$43&lt;AM$50)*($G$6:$G$43&gt;=AM$50)*CC$6:CC$43)</f>
        <v>43.5166666666667</v>
      </c>
      <c r="AN56" s="81" t="n">
        <f aca="false">SUMPRODUCT(($F$6:$F$43&lt;AN$50)*($G$6:$G$43&gt;=AN$50)*CC$6:CC$43)</f>
        <v>43.5166666666667</v>
      </c>
      <c r="AO56" s="81" t="n">
        <f aca="false">SUMPRODUCT(($F$6:$F$43&lt;AO$50)*($G$6:$G$43&gt;=AO$50)*CC$6:CC$43)</f>
        <v>43.5166666666667</v>
      </c>
      <c r="AP56" s="81" t="n">
        <f aca="false">SUMPRODUCT(($F$6:$F$43&lt;AP$50)*($G$6:$G$43&gt;=AP$50)*CC$6:CC$43)</f>
        <v>43.5166666666667</v>
      </c>
      <c r="AQ56" s="81" t="n">
        <f aca="false">SUMPRODUCT(($F$6:$F$43&lt;AQ$50)*($G$6:$G$43&gt;=AQ$50)*CC$6:CC$43)</f>
        <v>43.5166666666667</v>
      </c>
      <c r="AR56" s="81" t="n">
        <f aca="false">SUMPRODUCT(($F$6:$F$43&lt;AR$50)*($G$6:$G$43&gt;=AR$50)*CC$6:CC$43)</f>
        <v>43.4166666666667</v>
      </c>
      <c r="AS56" s="81" t="n">
        <f aca="false">SUMPRODUCT(($F$6:$F$43&lt;AS$50)*($G$6:$G$43&gt;=AS$50)*CC$6:CC$43)</f>
        <v>34.8333333333333</v>
      </c>
      <c r="AT56" s="81" t="n">
        <f aca="false">SUMPRODUCT(($F$6:$F$43&lt;AT$50)*($G$6:$G$43&gt;=AT$50)*CC$6:CC$43)</f>
        <v>34.8333333333333</v>
      </c>
      <c r="AU56" s="81" t="n">
        <f aca="false">SUMPRODUCT(($F$6:$F$43&lt;AU$50)*($G$6:$G$43&gt;=AU$50)*CC$6:CC$43)</f>
        <v>34.8333333333333</v>
      </c>
      <c r="AV56" s="81" t="n">
        <f aca="false">SUMPRODUCT(($F$6:$F$43&lt;AV$50)*($G$6:$G$43&gt;=AV$50)*CC$6:CC$43)</f>
        <v>19.3333333333333</v>
      </c>
      <c r="AW56" s="81" t="n">
        <f aca="false">SUMPRODUCT(($F$6:$F$43&lt;AW$50)*($G$6:$G$43&gt;=AW$50)*CC$6:CC$43)</f>
        <v>43.8333333333333</v>
      </c>
      <c r="AX56" s="81" t="n">
        <f aca="false">SUMPRODUCT(($F$6:$F$43&lt;AX$50)*($G$6:$G$43&gt;=AX$50)*CC$6:CC$43)</f>
        <v>43.8333333333333</v>
      </c>
      <c r="AY56" s="81" t="n">
        <f aca="false">SUMPRODUCT(($F$6:$F$43&lt;AY$50)*($G$6:$G$43&gt;=AY$50)*CC$6:CC$43)</f>
        <v>46.5</v>
      </c>
      <c r="AZ56" s="81" t="n">
        <f aca="false">SUMPRODUCT(($F$6:$F$43&lt;AZ$50)*($G$6:$G$43&gt;=AZ$50)*CC$6:CC$43)</f>
        <v>46.5</v>
      </c>
      <c r="BA56" s="81" t="n">
        <f aca="false">SUMPRODUCT(($F$6:$F$43&lt;BA$50)*($G$6:$G$43&gt;=BA$50)*CC$6:CC$43)</f>
        <v>43.5</v>
      </c>
      <c r="BB56" s="81" t="n">
        <f aca="false">SUMPRODUCT(($F$6:$F$43&lt;BB$50)*($G$6:$G$43&gt;=BB$50)*CC$6:CC$43)</f>
        <v>43.5</v>
      </c>
      <c r="BC56" s="81" t="n">
        <f aca="false">SUMPRODUCT(($F$6:$F$43&lt;BC$50)*($G$6:$G$43&gt;=BC$50)*CC$6:CC$43)</f>
        <v>27</v>
      </c>
      <c r="BD56" s="81" t="n">
        <f aca="false">SUMPRODUCT(($F$6:$F$43&lt;BD$50)*($G$6:$G$43&gt;=BD$50)*CC$6:CC$43)</f>
        <v>27</v>
      </c>
      <c r="BE56" s="81" t="n">
        <f aca="false">SUMPRODUCT(($F$6:$F$43&lt;BE$50)*($G$6:$G$43&gt;=BE$50)*CC$6:CC$43)</f>
        <v>0</v>
      </c>
      <c r="BF56" s="81" t="n">
        <f aca="false">SUMPRODUCT(($F$6:$F$43&lt;BF$50)*($G$6:$G$43&gt;=BF$50)*CC$6:CC$43)</f>
        <v>0</v>
      </c>
      <c r="BG56" s="81" t="n">
        <f aca="false">SUMPRODUCT(($F$6:$F$43&lt;BG$50)*($G$6:$G$43&gt;=BG$50)*CC$6:CC$43)</f>
        <v>0</v>
      </c>
      <c r="BH56" s="81" t="n">
        <f aca="false">SUMPRODUCT(($F$6:$F$43&lt;BH$50)*($G$6:$G$43&gt;=BH$50)*CC$6:CC$43)</f>
        <v>0</v>
      </c>
      <c r="BI56" s="81" t="n">
        <f aca="false">SUMPRODUCT(($F$6:$F$43&lt;BI$50)*($G$6:$G$43&gt;=BI$50)*CC$6:CC$43)</f>
        <v>0</v>
      </c>
      <c r="BJ56" s="81" t="n">
        <f aca="false">SUMPRODUCT(($F$6:$F$43&lt;BJ$50)*($G$6:$G$43&gt;=BJ$50)*CC$6:CC$43)</f>
        <v>0</v>
      </c>
      <c r="BK56" s="81" t="n">
        <f aca="false">SUMPRODUCT(($F$6:$F$43&lt;BK$50)*($G$6:$G$43&gt;=BK$50)*CC$6:CC$43)</f>
        <v>43.5</v>
      </c>
      <c r="BL56" s="81" t="n">
        <f aca="false">SUMPRODUCT(($F$6:$F$43&lt;BL$50)*($G$6:$G$43&gt;=BL$50)*CC$6:CC$43)</f>
        <v>43.5</v>
      </c>
      <c r="BM56" s="81" t="n">
        <f aca="false">SUMPRODUCT(($F$6:$F$43&lt;BM$50)*($G$6:$G$43&gt;=BM$50)*CC$6:CC$43)</f>
        <v>0</v>
      </c>
    </row>
    <row r="57" customFormat="false" ht="15" hidden="false" customHeight="false" outlineLevel="0" collapsed="false">
      <c r="A57" s="1" t="s">
        <v>942</v>
      </c>
      <c r="B57" s="61" t="n">
        <f aca="false">SUM(R57:BM57)</f>
        <v>10160</v>
      </c>
      <c r="C57" s="77" t="n">
        <f aca="false">MAX(R57:BM57)</f>
        <v>254.238095238095</v>
      </c>
      <c r="R57" s="81" t="n">
        <f aca="false">SUM(R51:R56)</f>
        <v>80</v>
      </c>
      <c r="S57" s="81" t="n">
        <f aca="false">SUM(S51:S56)</f>
        <v>240</v>
      </c>
      <c r="T57" s="81" t="n">
        <f aca="false">SUM(T51:T56)</f>
        <v>240</v>
      </c>
      <c r="U57" s="81" t="n">
        <f aca="false">SUM(U51:U56)</f>
        <v>185</v>
      </c>
      <c r="V57" s="81" t="n">
        <f aca="false">SUM(V51:V56)</f>
        <v>245</v>
      </c>
      <c r="W57" s="81" t="n">
        <f aca="false">SUM(W51:W56)</f>
        <v>245</v>
      </c>
      <c r="X57" s="81" t="n">
        <f aca="false">SUM(X51:X56)</f>
        <v>245</v>
      </c>
      <c r="Y57" s="81" t="n">
        <f aca="false">SUM(Y51:Y56)</f>
        <v>253.571428571429</v>
      </c>
      <c r="Z57" s="81" t="n">
        <f aca="false">SUM(Z51:Z56)</f>
        <v>253.571428571429</v>
      </c>
      <c r="AA57" s="81" t="n">
        <f aca="false">SUM(AA51:AA56)</f>
        <v>253.571428571429</v>
      </c>
      <c r="AB57" s="81" t="n">
        <f aca="false">SUM(AB51:AB56)</f>
        <v>253.571428571429</v>
      </c>
      <c r="AC57" s="81" t="n">
        <f aca="false">SUM(AC51:AC56)</f>
        <v>219.571428571429</v>
      </c>
      <c r="AD57" s="81" t="n">
        <f aca="false">SUM(AD51:AD56)</f>
        <v>252.904761904762</v>
      </c>
      <c r="AE57" s="81" t="n">
        <f aca="false">SUM(AE51:AE56)</f>
        <v>252.904761904762</v>
      </c>
      <c r="AF57" s="81" t="n">
        <f aca="false">SUM(AF51:AF56)</f>
        <v>231</v>
      </c>
      <c r="AG57" s="81" t="n">
        <f aca="false">SUM(AG51:AG56)</f>
        <v>251</v>
      </c>
      <c r="AH57" s="81" t="n">
        <f aca="false">SUM(AH51:AH56)</f>
        <v>219</v>
      </c>
      <c r="AI57" s="81" t="n">
        <f aca="false">SUM(AI51:AI56)</f>
        <v>247.571428571429</v>
      </c>
      <c r="AJ57" s="81" t="n">
        <f aca="false">SUM(AJ51:AJ56)</f>
        <v>247.571428571429</v>
      </c>
      <c r="AK57" s="81" t="n">
        <f aca="false">SUM(AK51:AK56)</f>
        <v>247.571428571429</v>
      </c>
      <c r="AL57" s="81" t="n">
        <f aca="false">SUM(AL51:AL56)</f>
        <v>227.571428571429</v>
      </c>
      <c r="AM57" s="81" t="n">
        <f aca="false">SUM(AM51:AM56)</f>
        <v>227.571428571429</v>
      </c>
      <c r="AN57" s="81" t="n">
        <f aca="false">SUM(AN51:AN56)</f>
        <v>227.571428571429</v>
      </c>
      <c r="AO57" s="81" t="n">
        <f aca="false">SUM(AO51:AO56)</f>
        <v>227.571428571429</v>
      </c>
      <c r="AP57" s="81" t="n">
        <f aca="false">SUM(AP51:AP56)</f>
        <v>227.571428571429</v>
      </c>
      <c r="AQ57" s="81" t="n">
        <f aca="false">SUM(AQ51:AQ56)</f>
        <v>254.238095238095</v>
      </c>
      <c r="AR57" s="81" t="n">
        <f aca="false">SUM(AR51:AR56)</f>
        <v>219.571428571429</v>
      </c>
      <c r="AS57" s="81" t="n">
        <f aca="false">SUM(AS51:AS56)</f>
        <v>252.904761904762</v>
      </c>
      <c r="AT57" s="81" t="n">
        <f aca="false">SUM(AT51:AT56)</f>
        <v>252.904761904762</v>
      </c>
      <c r="AU57" s="81" t="n">
        <f aca="false">SUM(AU51:AU56)</f>
        <v>252.904761904762</v>
      </c>
      <c r="AV57" s="81" t="n">
        <f aca="false">SUM(AV51:AV56)</f>
        <v>212.904761904762</v>
      </c>
      <c r="AW57" s="81" t="n">
        <f aca="false">SUM(AW51:AW56)</f>
        <v>231.666666666667</v>
      </c>
      <c r="AX57" s="81" t="n">
        <f aca="false">SUM(AX51:AX56)</f>
        <v>211.666666666667</v>
      </c>
      <c r="AY57" s="81" t="n">
        <f aca="false">SUM(AY51:AY56)</f>
        <v>245</v>
      </c>
      <c r="AZ57" s="81" t="n">
        <f aca="false">SUM(AZ51:AZ56)</f>
        <v>245</v>
      </c>
      <c r="BA57" s="81" t="n">
        <f aca="false">SUM(BA51:BA56)</f>
        <v>245</v>
      </c>
      <c r="BB57" s="81" t="n">
        <f aca="false">SUM(BB51:BB56)</f>
        <v>245</v>
      </c>
      <c r="BC57" s="81" t="n">
        <f aca="false">SUM(BC51:BC56)</f>
        <v>245</v>
      </c>
      <c r="BD57" s="81" t="n">
        <f aca="false">SUM(BD51:BD56)</f>
        <v>245</v>
      </c>
      <c r="BE57" s="81" t="n">
        <f aca="false">SUM(BE51:BE56)</f>
        <v>158.333333333333</v>
      </c>
      <c r="BF57" s="81" t="n">
        <f aca="false">SUM(BF51:BF56)</f>
        <v>158.333333333333</v>
      </c>
      <c r="BG57" s="81" t="n">
        <f aca="false">SUM(BG51:BG56)</f>
        <v>158.333333333333</v>
      </c>
      <c r="BH57" s="81" t="n">
        <f aca="false">SUM(BH51:BH56)</f>
        <v>78.3333333333333</v>
      </c>
      <c r="BI57" s="81" t="n">
        <f aca="false">SUM(BI51:BI56)</f>
        <v>78.3333333333333</v>
      </c>
      <c r="BJ57" s="81" t="n">
        <f aca="false">SUM(BJ51:BJ56)</f>
        <v>78.3333333333333</v>
      </c>
      <c r="BK57" s="81" t="n">
        <f aca="false">SUM(BK51:BK56)</f>
        <v>105</v>
      </c>
      <c r="BL57" s="81" t="n">
        <f aca="false">SUM(BL51:BL56)</f>
        <v>105</v>
      </c>
      <c r="BM57" s="81" t="n">
        <f aca="false">SUM(BM51:BM56)</f>
        <v>80</v>
      </c>
    </row>
    <row r="58" customFormat="false" ht="15" hidden="false" customHeight="false" outlineLevel="0" collapsed="false">
      <c r="A58" s="1" t="s">
        <v>1467</v>
      </c>
      <c r="R58" s="81" t="n">
        <v>252</v>
      </c>
      <c r="S58" s="81" t="n">
        <v>252</v>
      </c>
      <c r="T58" s="81" t="n">
        <v>252</v>
      </c>
      <c r="U58" s="81" t="n">
        <v>252</v>
      </c>
      <c r="V58" s="81" t="n">
        <v>252</v>
      </c>
      <c r="W58" s="81" t="n">
        <v>252</v>
      </c>
      <c r="X58" s="81" t="n">
        <v>252</v>
      </c>
      <c r="Y58" s="81" t="n">
        <v>252</v>
      </c>
      <c r="Z58" s="81" t="n">
        <v>252</v>
      </c>
      <c r="AA58" s="81" t="n">
        <v>252</v>
      </c>
      <c r="AB58" s="81" t="n">
        <v>252</v>
      </c>
      <c r="AC58" s="81" t="n">
        <v>252</v>
      </c>
      <c r="AD58" s="81" t="n">
        <v>252</v>
      </c>
      <c r="AE58" s="81" t="n">
        <v>252</v>
      </c>
      <c r="AF58" s="81" t="n">
        <v>252</v>
      </c>
      <c r="AG58" s="81" t="n">
        <v>252</v>
      </c>
      <c r="AH58" s="81" t="n">
        <v>252</v>
      </c>
      <c r="AI58" s="81" t="n">
        <v>252</v>
      </c>
      <c r="AJ58" s="81" t="n">
        <v>252</v>
      </c>
      <c r="AK58" s="81" t="n">
        <v>252</v>
      </c>
      <c r="AL58" s="81" t="n">
        <v>252</v>
      </c>
      <c r="AM58" s="81" t="n">
        <v>252</v>
      </c>
      <c r="AN58" s="81" t="n">
        <v>252</v>
      </c>
      <c r="AO58" s="81" t="n">
        <v>252</v>
      </c>
      <c r="AP58" s="81" t="n">
        <v>252</v>
      </c>
      <c r="AQ58" s="81" t="n">
        <v>252</v>
      </c>
      <c r="AR58" s="81" t="n">
        <v>252</v>
      </c>
      <c r="AS58" s="81" t="n">
        <v>252</v>
      </c>
      <c r="AT58" s="81" t="n">
        <v>252</v>
      </c>
      <c r="AU58" s="81" t="n">
        <v>252</v>
      </c>
      <c r="AV58" s="81" t="n">
        <v>252</v>
      </c>
      <c r="AW58" s="81" t="n">
        <v>252</v>
      </c>
      <c r="AX58" s="81" t="n">
        <v>252</v>
      </c>
      <c r="AY58" s="81" t="n">
        <v>252</v>
      </c>
      <c r="AZ58" s="81" t="n">
        <v>252</v>
      </c>
      <c r="BA58" s="81" t="n">
        <v>252</v>
      </c>
      <c r="BB58" s="81" t="n">
        <v>252</v>
      </c>
      <c r="BC58" s="81" t="n">
        <v>252</v>
      </c>
      <c r="BD58" s="81" t="n">
        <v>252</v>
      </c>
      <c r="BE58" s="81" t="n">
        <v>252</v>
      </c>
      <c r="BF58" s="81" t="n">
        <v>252</v>
      </c>
      <c r="BG58" s="81" t="n">
        <v>252</v>
      </c>
      <c r="BH58" s="81" t="n">
        <v>252</v>
      </c>
      <c r="BI58" s="81" t="n">
        <v>252</v>
      </c>
      <c r="BJ58" s="81" t="n">
        <v>252</v>
      </c>
      <c r="BK58" s="81" t="n">
        <v>252</v>
      </c>
      <c r="BL58" s="81" t="n">
        <v>252</v>
      </c>
      <c r="BM58" s="81" t="n">
        <v>252</v>
      </c>
    </row>
    <row r="60" customFormat="false" ht="15" hidden="false" customHeight="false" outlineLevel="0" collapsed="false">
      <c r="A60" s="1" t="s">
        <v>1468</v>
      </c>
      <c r="B60" s="81" t="n">
        <f aca="false">SUMPRODUCT((R51:BM51&gt;42)*(R51:BM51-42))+SUMPRODUCT((R52:BM52&gt;42)*(R52:BM52-42))+SUMPRODUCT((R53:BM53&gt;42)*(R53:BM53-42))+SUMPRODUCT((R54:BM54&gt;42)*(R54:BM54-42))+SUMPRODUCT((R55:BM55&gt;42)*(R55:BM55-42))+SUMPRODUCT((R56:BM56&gt;42)*(R56:BM56-42))</f>
        <v>304.535714285714</v>
      </c>
    </row>
    <row r="61" customFormat="false" ht="15" hidden="false" customHeight="false" outlineLevel="0" collapsed="false">
      <c r="A61" s="1" t="s">
        <v>1469</v>
      </c>
    </row>
    <row r="62" customFormat="false" ht="15" hidden="false" customHeight="false" outlineLevel="0" collapsed="false">
      <c r="A62" s="1" t="s">
        <v>1470</v>
      </c>
    </row>
  </sheetData>
  <conditionalFormatting sqref="R6:BO43">
    <cfRule type="cellIs" priority="2" operator="equal" aboveAverage="0" equalAverage="0" bottom="0" percent="0" rank="0" text="" dxfId="0">
      <formula>2</formula>
    </cfRule>
    <cfRule type="cellIs" priority="3" operator="equal" aboveAverage="0" equalAverage="0" bottom="0" percent="0" rank="0" text="" dxfId="1">
      <formula>1</formula>
    </cfRule>
    <cfRule type="cellIs" priority="4" operator="equal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6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2" t="s">
        <v>1471</v>
      </c>
    </row>
    <row r="2" customFormat="false" ht="15" hidden="false" customHeight="true" outlineLevel="0" collapsed="false">
      <c r="A2" s="3" t="s">
        <v>1472</v>
      </c>
    </row>
    <row r="4" customFormat="false" ht="23.25" hidden="false" customHeight="true" outlineLevel="0" collapsed="false">
      <c r="A4" s="4" t="s">
        <v>308</v>
      </c>
      <c r="B4" s="4" t="s">
        <v>1473</v>
      </c>
      <c r="C4" s="4" t="s">
        <v>1474</v>
      </c>
      <c r="D4" s="4" t="s">
        <v>1475</v>
      </c>
      <c r="E4" s="4" t="s">
        <v>1476</v>
      </c>
      <c r="F4" s="4" t="s">
        <v>1477</v>
      </c>
    </row>
    <row r="5" customFormat="false" ht="15" hidden="false" customHeight="true" outlineLevel="0" collapsed="false">
      <c r="A5" s="7" t="s">
        <v>1478</v>
      </c>
      <c r="B5" s="33" t="n">
        <f aca="false">SUMIFS(Cotizaciones!$J$5:$J$70,Cotizaciones!$B$5:$B$70,"Instrumentación")</f>
        <v>603956595.225456</v>
      </c>
      <c r="C5" s="32" t="n">
        <f aca="false">B5*(1+Supuestos!$B$50)</f>
        <v>664352254.748002</v>
      </c>
      <c r="D5" s="82" t="n">
        <f aca="false">C5/Supuestos!$B$6</f>
        <v>202949.22384</v>
      </c>
      <c r="E5" s="38" t="n">
        <f aca="false">C5/$C$19</f>
        <v>0.0779214857595787</v>
      </c>
      <c r="F5" s="7" t="s">
        <v>1479</v>
      </c>
    </row>
    <row r="6" customFormat="false" ht="15" hidden="false" customHeight="true" outlineLevel="0" collapsed="false">
      <c r="A6" s="7" t="s">
        <v>1480</v>
      </c>
      <c r="B6" s="33" t="n">
        <f aca="false">SUMIFS(Cotizaciones!$J$5:$J$70,Cotizaciones!$B$5:$B$70,"Inspección")</f>
        <v>452527257.6</v>
      </c>
      <c r="C6" s="32" t="n">
        <f aca="false">B6*(1+Supuestos!$B$50)</f>
        <v>497779983.36</v>
      </c>
      <c r="D6" s="82" t="n">
        <f aca="false">C6/Supuestos!$B$6</f>
        <v>152064</v>
      </c>
      <c r="E6" s="38" t="n">
        <f aca="false">C6/$C$19</f>
        <v>0.0583843218828275</v>
      </c>
      <c r="F6" s="7" t="s">
        <v>1479</v>
      </c>
    </row>
    <row r="7" customFormat="false" ht="15" hidden="false" customHeight="true" outlineLevel="0" collapsed="false">
      <c r="A7" s="7" t="s">
        <v>1481</v>
      </c>
      <c r="B7" s="33" t="n">
        <f aca="false">SUMIFS(Cotizaciones!$J$5:$J$70,Cotizaciones!$B$5:$B$70,"Válvulas y actuadores")</f>
        <v>669952463.4</v>
      </c>
      <c r="C7" s="32" t="n">
        <f aca="false">B7*(1+Supuestos!$B$50)</f>
        <v>736947709.74</v>
      </c>
      <c r="D7" s="82" t="n">
        <f aca="false">C7/Supuestos!$B$6</f>
        <v>225126</v>
      </c>
      <c r="E7" s="38" t="n">
        <f aca="false">C7/$C$19</f>
        <v>0.0864361640374673</v>
      </c>
      <c r="F7" s="7" t="s">
        <v>1479</v>
      </c>
    </row>
    <row r="8" customFormat="false" ht="15" hidden="false" customHeight="true" outlineLevel="0" collapsed="false">
      <c r="A8" s="7" t="s">
        <v>1482</v>
      </c>
      <c r="B8" s="33" t="n">
        <f aca="false">SUMIFS(Cotizaciones!$J$5:$J$70,Cotizaciones!$B$5:$B$70,"Control")</f>
        <v>279294166.8</v>
      </c>
      <c r="C8" s="32" t="n">
        <f aca="false">B8*(1+Supuestos!$B$50)</f>
        <v>307223583.48</v>
      </c>
      <c r="D8" s="82" t="n">
        <f aca="false">C8/Supuestos!$B$6</f>
        <v>93852</v>
      </c>
      <c r="E8" s="38" t="n">
        <f aca="false">C8/$C$19</f>
        <v>0.0360340736620576</v>
      </c>
      <c r="F8" s="7" t="s">
        <v>1479</v>
      </c>
    </row>
    <row r="9" customFormat="false" ht="15" hidden="false" customHeight="true" outlineLevel="0" collapsed="false">
      <c r="A9" s="7" t="s">
        <v>1483</v>
      </c>
      <c r="B9" s="33" t="n">
        <f aca="false">SUMIFS(Cotizaciones!$J$5:$J$70,Cotizaciones!$B$5:$B$70,"TI/OT")</f>
        <v>484541989.8</v>
      </c>
      <c r="C9" s="32" t="n">
        <f aca="false">B9*(1+Supuestos!$B$50)</f>
        <v>532996188.78</v>
      </c>
      <c r="D9" s="82" t="n">
        <f aca="false">C9/Supuestos!$B$6</f>
        <v>162822</v>
      </c>
      <c r="E9" s="38" t="n">
        <f aca="false">C9/$C$19</f>
        <v>0.0625148099326977</v>
      </c>
      <c r="F9" s="7" t="s">
        <v>1479</v>
      </c>
    </row>
    <row r="10" customFormat="false" ht="15" hidden="false" customHeight="true" outlineLevel="0" collapsed="false">
      <c r="A10" s="7" t="s">
        <v>1484</v>
      </c>
      <c r="B10" s="33" t="n">
        <f aca="false">SUMIFS(Cotizaciones!$J$5:$J$70,Cotizaciones!$B$5:$B$70,"Robótica")</f>
        <v>1466671836</v>
      </c>
      <c r="C10" s="32" t="n">
        <f aca="false">B10*(1+Supuestos!$B$50)</f>
        <v>1613339019.6</v>
      </c>
      <c r="D10" s="82" t="n">
        <f aca="false">C10/Supuestos!$B$6</f>
        <v>492849.83904029</v>
      </c>
      <c r="E10" s="38" t="n">
        <f aca="false">C10/$C$19</f>
        <v>0.189227586032381</v>
      </c>
      <c r="F10" s="7" t="s">
        <v>1479</v>
      </c>
    </row>
    <row r="11" customFormat="false" ht="15" hidden="false" customHeight="true" outlineLevel="0" collapsed="false">
      <c r="A11" s="7" t="s">
        <v>1485</v>
      </c>
      <c r="B11" s="33" t="n">
        <f aca="false">SUMIFS(Cotizaciones!$J$5:$J$70,Cotizaciones!$B$5:$B$70,"Software")</f>
        <v>549447112.775</v>
      </c>
      <c r="C11" s="32" t="n">
        <f aca="false">B11*(1+Supuestos!$B$50)</f>
        <v>604391824.0525</v>
      </c>
      <c r="D11" s="82" t="n">
        <f aca="false">C11/Supuestos!$B$6</f>
        <v>184632.25</v>
      </c>
      <c r="E11" s="38" t="n">
        <f aca="false">C11/$C$19</f>
        <v>0.0708887620603869</v>
      </c>
      <c r="F11" s="7" t="s">
        <v>1479</v>
      </c>
    </row>
    <row r="12" customFormat="false" ht="15" hidden="false" customHeight="true" outlineLevel="0" collapsed="false">
      <c r="A12" s="7" t="s">
        <v>1486</v>
      </c>
      <c r="B12" s="33" t="n">
        <f aca="false">SUMIFS(Cotizaciones!$J$5:$J$70,Cotizaciones!$B$5:$B$70,"Obras y montaje locales")</f>
        <v>1265000000</v>
      </c>
      <c r="C12" s="32" t="n">
        <f aca="false">B12*(1+Supuestos!$B$50)</f>
        <v>1391500000</v>
      </c>
      <c r="D12" s="82" t="n">
        <f aca="false">C12/Supuestos!$B$6</f>
        <v>425081.487953224</v>
      </c>
      <c r="E12" s="38" t="n">
        <f aca="false">C12/$C$19</f>
        <v>0.163208217718147</v>
      </c>
      <c r="F12" s="7" t="s">
        <v>1479</v>
      </c>
    </row>
    <row r="13" customFormat="false" ht="15" hidden="false" customHeight="true" outlineLevel="0" collapsed="false">
      <c r="A13" s="12" t="s">
        <v>1487</v>
      </c>
      <c r="B13" s="83" t="n">
        <f aca="false">SUM(B5:B12)</f>
        <v>5771391421.60046</v>
      </c>
      <c r="C13" s="83" t="n">
        <f aca="false">SUM(C5:C12)</f>
        <v>6348530563.7605</v>
      </c>
      <c r="D13" s="82" t="n">
        <f aca="false">C13/Supuestos!$B$6</f>
        <v>1939376.80083352</v>
      </c>
      <c r="E13" s="38" t="n">
        <f aca="false">C13/$C$19</f>
        <v>0.744615421085544</v>
      </c>
      <c r="F13" s="13"/>
    </row>
    <row r="14" customFormat="false" ht="15" hidden="false" customHeight="true" outlineLevel="0" collapsed="false">
      <c r="A14" s="7" t="s">
        <v>1488</v>
      </c>
      <c r="B14" s="33" t="n">
        <f aca="false">Nomina_Kuajo!$G$11</f>
        <v>574938360</v>
      </c>
      <c r="C14" s="32" t="n">
        <f aca="false">Cronograma!$L$44*Supuestos!$B$47</f>
        <v>1524000000</v>
      </c>
      <c r="D14" s="82" t="n">
        <f aca="false">C14/Supuestos!$B$6</f>
        <v>465558.165749704</v>
      </c>
      <c r="E14" s="38" t="n">
        <f aca="false">C14/$C$19</f>
        <v>0.178749064895764</v>
      </c>
      <c r="F14" s="7" t="s">
        <v>1489</v>
      </c>
    </row>
    <row r="15" customFormat="false" ht="15" hidden="false" customHeight="true" outlineLevel="0" collapsed="false">
      <c r="A15" s="7" t="s">
        <v>307</v>
      </c>
      <c r="B15" s="33" t="n">
        <f aca="false">Nomina_Kuajo!$G$27</f>
        <v>268478190</v>
      </c>
      <c r="C15" s="32" t="n">
        <v>0</v>
      </c>
      <c r="D15" s="82" t="n">
        <f aca="false">C15/Supuestos!$B$6</f>
        <v>0</v>
      </c>
      <c r="E15" s="38" t="n">
        <f aca="false">C15/$C$19</f>
        <v>0</v>
      </c>
      <c r="F15" s="7" t="s">
        <v>1490</v>
      </c>
    </row>
    <row r="16" customFormat="false" ht="15" hidden="false" customHeight="true" outlineLevel="0" collapsed="false">
      <c r="A16" s="7" t="s">
        <v>1491</v>
      </c>
      <c r="B16" s="32" t="n">
        <f aca="false">(B13+B14)*Supuestos!$B$51</f>
        <v>444243084.712032</v>
      </c>
      <c r="C16" s="32" t="n">
        <f aca="false">(C13+C14)*Supuestos!$B$51</f>
        <v>551077139.463235</v>
      </c>
      <c r="D16" s="82" t="n">
        <f aca="false">C16/Supuestos!$B$6</f>
        <v>168345.447660825</v>
      </c>
      <c r="E16" s="38" t="n">
        <f aca="false">C16/$C$19</f>
        <v>0.0646355140186916</v>
      </c>
      <c r="F16" s="7" t="s">
        <v>1492</v>
      </c>
    </row>
    <row r="17" customFormat="false" ht="15" hidden="false" customHeight="true" outlineLevel="0" collapsed="false">
      <c r="A17" s="12" t="s">
        <v>1493</v>
      </c>
      <c r="B17" s="83" t="n">
        <f aca="false">B13+B14+B15+B16</f>
        <v>7059051056.31249</v>
      </c>
      <c r="C17" s="83" t="n">
        <f aca="false">C13+C14+C15+C16</f>
        <v>8423607703.22374</v>
      </c>
      <c r="D17" s="82" t="n">
        <f aca="false">C17/Supuestos!$B$6</f>
        <v>2573280.41424404</v>
      </c>
      <c r="E17" s="38" t="n">
        <f aca="false">C17/$C$19</f>
        <v>0.988</v>
      </c>
      <c r="F17" s="13"/>
    </row>
    <row r="18" customFormat="false" ht="15" hidden="false" customHeight="true" outlineLevel="0" collapsed="false">
      <c r="A18" s="7" t="s">
        <v>1494</v>
      </c>
      <c r="B18" s="32" t="n">
        <f aca="false">C18</f>
        <v>102311024.735511</v>
      </c>
      <c r="C18" s="32" t="n">
        <f aca="false">C17/(1-Supuestos!$B$52)-C17</f>
        <v>102311024.735511</v>
      </c>
      <c r="D18" s="82" t="n">
        <f aca="false">C18/Supuestos!$B$6</f>
        <v>31254.4179867697</v>
      </c>
      <c r="E18" s="38" t="n">
        <f aca="false">C18/$C$19</f>
        <v>0.012</v>
      </c>
      <c r="F18" s="7" t="s">
        <v>1495</v>
      </c>
    </row>
    <row r="19" customFormat="false" ht="15" hidden="false" customHeight="true" outlineLevel="0" collapsed="false">
      <c r="A19" s="84" t="s">
        <v>1496</v>
      </c>
      <c r="B19" s="63" t="n">
        <f aca="false">B17+B18</f>
        <v>7161362081.048</v>
      </c>
      <c r="C19" s="63" t="n">
        <f aca="false">C17+C18</f>
        <v>8525918727.95925</v>
      </c>
      <c r="D19" s="82" t="n">
        <f aca="false">C19/Supuestos!$B$6</f>
        <v>2604534.83223081</v>
      </c>
      <c r="E19" s="38" t="n">
        <f aca="false">C19/$C$19</f>
        <v>1</v>
      </c>
      <c r="F19" s="85" t="s">
        <v>1497</v>
      </c>
    </row>
    <row r="20" customFormat="false" ht="15" hidden="false" customHeight="true" outlineLevel="0" collapsed="false">
      <c r="A20" s="7" t="s">
        <v>1498</v>
      </c>
      <c r="C20" s="32" t="n">
        <f aca="false">C19*Supuestos!$B$55</f>
        <v>1619924558.31226</v>
      </c>
      <c r="D20" s="82" t="n">
        <f aca="false">C20/Supuestos!$B$6</f>
        <v>494861.618123855</v>
      </c>
      <c r="E20" s="38" t="n">
        <f aca="false">C20/$C$19</f>
        <v>0.19</v>
      </c>
    </row>
    <row r="21" customFormat="false" ht="15" hidden="false" customHeight="true" outlineLevel="0" collapsed="false">
      <c r="A21" s="5" t="s">
        <v>1499</v>
      </c>
      <c r="C21" s="86" t="n">
        <f aca="false">C19+C20</f>
        <v>10145843286.2715</v>
      </c>
      <c r="D21" s="82" t="n">
        <f aca="false">C21/Supuestos!$B$6</f>
        <v>3099396.45035467</v>
      </c>
      <c r="E21" s="38" t="n">
        <f aca="false">C21/$C$19</f>
        <v>1.19</v>
      </c>
    </row>
    <row r="23" customFormat="false" ht="15" hidden="false" customHeight="true" outlineLevel="0" collapsed="false">
      <c r="A23" s="5" t="s">
        <v>1500</v>
      </c>
      <c r="C23" s="32" t="n">
        <f aca="false">Cronograma!$N$44-C19</f>
        <v>0</v>
      </c>
      <c r="F23" s="7" t="s">
        <v>1501</v>
      </c>
    </row>
    <row r="24" customFormat="false" ht="15" hidden="false" customHeight="true" outlineLevel="0" collapsed="false">
      <c r="A24" s="5" t="s">
        <v>1502</v>
      </c>
      <c r="C24" s="32" t="n">
        <f aca="false">C19-B19+B16*(1-Supuestos!$B$56)</f>
        <v>1586678189.26726</v>
      </c>
      <c r="E24" s="38" t="n">
        <f aca="false">C24/C19</f>
        <v>0.186100552901593</v>
      </c>
      <c r="F24" s="7" t="s">
        <v>1503</v>
      </c>
    </row>
    <row r="26" customFormat="false" ht="15" hidden="false" customHeight="true" outlineLevel="0" collapsed="false">
      <c r="A26" s="12" t="s">
        <v>1504</v>
      </c>
      <c r="B26" s="13"/>
      <c r="C26" s="13"/>
      <c r="D26" s="13"/>
      <c r="E26" s="13"/>
      <c r="F26" s="13"/>
    </row>
    <row r="27" customFormat="false" ht="15" hidden="false" customHeight="true" outlineLevel="0" collapsed="false">
      <c r="A27" s="7" t="s">
        <v>1505</v>
      </c>
      <c r="C27" s="32" t="n">
        <f aca="false">SUMIFS(Cotizaciones!$J$5:$J$70,Cotizaciones!$N$5:$N$70,"TI/Software")*(1+Supuestos!$B$50)*(1+Supuestos!$B$51)/(1-Supuestos!$B$52)</f>
        <v>1303264345.88135</v>
      </c>
      <c r="F27" s="7" t="s">
        <v>1506</v>
      </c>
    </row>
    <row r="28" customFormat="false" ht="15" hidden="false" customHeight="true" outlineLevel="0" collapsed="false">
      <c r="A28" s="7" t="s">
        <v>1507</v>
      </c>
      <c r="C28" s="32" t="n">
        <f aca="false">C19-C27</f>
        <v>7222654382.0779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0"/>
    <col collapsed="false" customWidth="true" hidden="false" outlineLevel="0" max="14" min="3" style="1" width="14"/>
    <col collapsed="false" customWidth="true" hidden="false" outlineLevel="0" max="15" min="15" style="1" width="16"/>
  </cols>
  <sheetData>
    <row r="1" customFormat="false" ht="17.25" hidden="false" customHeight="true" outlineLevel="0" collapsed="false">
      <c r="A1" s="2" t="s">
        <v>1508</v>
      </c>
    </row>
    <row r="2" customFormat="false" ht="15" hidden="false" customHeight="true" outlineLevel="0" collapsed="false">
      <c r="A2" s="3" t="s">
        <v>1509</v>
      </c>
    </row>
    <row r="4" customFormat="false" ht="15" hidden="false" customHeight="true" outlineLevel="0" collapsed="false">
      <c r="A4" s="4" t="s">
        <v>1346</v>
      </c>
      <c r="B4" s="4" t="s">
        <v>1347</v>
      </c>
      <c r="C4" s="4" t="s">
        <v>1510</v>
      </c>
      <c r="D4" s="4" t="s">
        <v>1511</v>
      </c>
      <c r="E4" s="4" t="s">
        <v>1512</v>
      </c>
      <c r="F4" s="4" t="s">
        <v>1513</v>
      </c>
      <c r="G4" s="4" t="s">
        <v>1514</v>
      </c>
      <c r="H4" s="4" t="s">
        <v>1515</v>
      </c>
      <c r="I4" s="4" t="s">
        <v>1516</v>
      </c>
      <c r="J4" s="4" t="s">
        <v>1517</v>
      </c>
      <c r="K4" s="4" t="s">
        <v>1518</v>
      </c>
      <c r="L4" s="4" t="s">
        <v>1519</v>
      </c>
      <c r="M4" s="4" t="s">
        <v>1520</v>
      </c>
      <c r="N4" s="4" t="s">
        <v>1521</v>
      </c>
      <c r="O4" s="4" t="s">
        <v>312</v>
      </c>
    </row>
    <row r="5" customFormat="false" ht="15" hidden="false" customHeight="true" outlineLevel="0" collapsed="false">
      <c r="A5" s="7" t="s">
        <v>1376</v>
      </c>
      <c r="B5" s="7" t="s">
        <v>1377</v>
      </c>
      <c r="C5" s="32" t="n">
        <f aca="false">IF(Cronograma!$D$6=0,0,Cronograma!$N$6*MAX(0,MIN(Cronograma!$G$6,1*52/12)-MAX(Cronograma!$F$6,(1-1)*52/12))/Cronograma!$D$6)</f>
        <v>12995951.417004</v>
      </c>
      <c r="D5" s="32" t="n">
        <f aca="false">IF(Cronograma!$D$6=0,0,Cronograma!$N$6*MAX(0,MIN(Cronograma!$G$6,2*52/12)-MAX(Cronograma!$F$6,(2-1)*52/12))/Cronograma!$D$6)</f>
        <v>0</v>
      </c>
      <c r="E5" s="32" t="n">
        <f aca="false">IF(Cronograma!$D$6=0,0,Cronograma!$N$6*MAX(0,MIN(Cronograma!$G$6,3*52/12)-MAX(Cronograma!$F$6,(3-1)*52/12))/Cronograma!$D$6)</f>
        <v>0</v>
      </c>
      <c r="F5" s="32" t="n">
        <f aca="false">IF(Cronograma!$D$6=0,0,Cronograma!$N$6*MAX(0,MIN(Cronograma!$G$6,4*52/12)-MAX(Cronograma!$F$6,(4-1)*52/12))/Cronograma!$D$6)</f>
        <v>0</v>
      </c>
      <c r="G5" s="32" t="n">
        <f aca="false">IF(Cronograma!$D$6=0,0,Cronograma!$N$6*MAX(0,MIN(Cronograma!$G$6,5*52/12)-MAX(Cronograma!$F$6,(5-1)*52/12))/Cronograma!$D$6)</f>
        <v>0</v>
      </c>
      <c r="H5" s="32" t="n">
        <f aca="false">IF(Cronograma!$D$6=0,0,Cronograma!$N$6*MAX(0,MIN(Cronograma!$G$6,6*52/12)-MAX(Cronograma!$F$6,(6-1)*52/12))/Cronograma!$D$6)</f>
        <v>0</v>
      </c>
      <c r="I5" s="32" t="n">
        <f aca="false">IF(Cronograma!$D$6=0,0,Cronograma!$N$6*MAX(0,MIN(Cronograma!$G$6,7*52/12)-MAX(Cronograma!$F$6,(7-1)*52/12))/Cronograma!$D$6)</f>
        <v>0</v>
      </c>
      <c r="J5" s="32" t="n">
        <f aca="false">IF(Cronograma!$D$6=0,0,Cronograma!$N$6*MAX(0,MIN(Cronograma!$G$6,8*52/12)-MAX(Cronograma!$F$6,(8-1)*52/12))/Cronograma!$D$6)</f>
        <v>0</v>
      </c>
      <c r="K5" s="32" t="n">
        <f aca="false">IF(Cronograma!$D$6=0,0,Cronograma!$N$6*MAX(0,MIN(Cronograma!$G$6,9*52/12)-MAX(Cronograma!$F$6,(9-1)*52/12))/Cronograma!$D$6)</f>
        <v>0</v>
      </c>
      <c r="L5" s="32" t="n">
        <f aca="false">IF(Cronograma!$D$6=0,0,Cronograma!$N$6*MAX(0,MIN(Cronograma!$G$6,10*52/12)-MAX(Cronograma!$F$6,(10-1)*52/12))/Cronograma!$D$6)</f>
        <v>0</v>
      </c>
      <c r="M5" s="32" t="n">
        <f aca="false">IF(Cronograma!$D$6=0,0,Cronograma!$N$6*MAX(0,MIN(Cronograma!$G$6,11*52/12)-MAX(Cronograma!$F$6,(11-1)*52/12))/Cronograma!$D$6)</f>
        <v>0</v>
      </c>
      <c r="N5" s="32" t="n">
        <f aca="false">IF(Cronograma!$D$6=0,0,Cronograma!$N$6*MAX(0,MIN(Cronograma!$G$6,12*52/12)-MAX(Cronograma!$F$6,(12-1)*52/12))/Cronograma!$D$6)</f>
        <v>0</v>
      </c>
      <c r="O5" s="32" t="n">
        <f aca="false">SUM(C5:N5)</f>
        <v>12995951.417004</v>
      </c>
    </row>
    <row r="6" customFormat="false" ht="23.25" hidden="false" customHeight="true" outlineLevel="0" collapsed="false">
      <c r="A6" s="7" t="s">
        <v>1379</v>
      </c>
      <c r="B6" s="7" t="s">
        <v>1380</v>
      </c>
      <c r="C6" s="32" t="n">
        <f aca="false">IF(Cronograma!$D$7=0,0,Cronograma!$N$7*MAX(0,MIN(Cronograma!$G$7,1*52/12)-MAX(Cronograma!$F$7,(1-1)*52/12))/Cronograma!$D$7)</f>
        <v>25991902.8340081</v>
      </c>
      <c r="D6" s="32" t="n">
        <f aca="false">IF(Cronograma!$D$7=0,0,Cronograma!$N$7*MAX(0,MIN(Cronograma!$G$7,2*52/12)-MAX(Cronograma!$F$7,(2-1)*52/12))/Cronograma!$D$7)</f>
        <v>0</v>
      </c>
      <c r="E6" s="32" t="n">
        <f aca="false">IF(Cronograma!$D$7=0,0,Cronograma!$N$7*MAX(0,MIN(Cronograma!$G$7,3*52/12)-MAX(Cronograma!$F$7,(3-1)*52/12))/Cronograma!$D$7)</f>
        <v>0</v>
      </c>
      <c r="F6" s="32" t="n">
        <f aca="false">IF(Cronograma!$D$7=0,0,Cronograma!$N$7*MAX(0,MIN(Cronograma!$G$7,4*52/12)-MAX(Cronograma!$F$7,(4-1)*52/12))/Cronograma!$D$7)</f>
        <v>0</v>
      </c>
      <c r="G6" s="32" t="n">
        <f aca="false">IF(Cronograma!$D$7=0,0,Cronograma!$N$7*MAX(0,MIN(Cronograma!$G$7,5*52/12)-MAX(Cronograma!$F$7,(5-1)*52/12))/Cronograma!$D$7)</f>
        <v>0</v>
      </c>
      <c r="H6" s="32" t="n">
        <f aca="false">IF(Cronograma!$D$7=0,0,Cronograma!$N$7*MAX(0,MIN(Cronograma!$G$7,6*52/12)-MAX(Cronograma!$F$7,(6-1)*52/12))/Cronograma!$D$7)</f>
        <v>0</v>
      </c>
      <c r="I6" s="32" t="n">
        <f aca="false">IF(Cronograma!$D$7=0,0,Cronograma!$N$7*MAX(0,MIN(Cronograma!$G$7,7*52/12)-MAX(Cronograma!$F$7,(7-1)*52/12))/Cronograma!$D$7)</f>
        <v>0</v>
      </c>
      <c r="J6" s="32" t="n">
        <f aca="false">IF(Cronograma!$D$7=0,0,Cronograma!$N$7*MAX(0,MIN(Cronograma!$G$7,8*52/12)-MAX(Cronograma!$F$7,(8-1)*52/12))/Cronograma!$D$7)</f>
        <v>0</v>
      </c>
      <c r="K6" s="32" t="n">
        <f aca="false">IF(Cronograma!$D$7=0,0,Cronograma!$N$7*MAX(0,MIN(Cronograma!$G$7,9*52/12)-MAX(Cronograma!$F$7,(9-1)*52/12))/Cronograma!$D$7)</f>
        <v>0</v>
      </c>
      <c r="L6" s="32" t="n">
        <f aca="false">IF(Cronograma!$D$7=0,0,Cronograma!$N$7*MAX(0,MIN(Cronograma!$G$7,10*52/12)-MAX(Cronograma!$F$7,(10-1)*52/12))/Cronograma!$D$7)</f>
        <v>0</v>
      </c>
      <c r="M6" s="32" t="n">
        <f aca="false">IF(Cronograma!$D$7=0,0,Cronograma!$N$7*MAX(0,MIN(Cronograma!$G$7,11*52/12)-MAX(Cronograma!$F$7,(11-1)*52/12))/Cronograma!$D$7)</f>
        <v>0</v>
      </c>
      <c r="N6" s="32" t="n">
        <f aca="false">IF(Cronograma!$D$7=0,0,Cronograma!$N$7*MAX(0,MIN(Cronograma!$G$7,12*52/12)-MAX(Cronograma!$F$7,(12-1)*52/12))/Cronograma!$D$7)</f>
        <v>0</v>
      </c>
      <c r="O6" s="32" t="n">
        <f aca="false">SUM(C6:N6)</f>
        <v>25991902.8340081</v>
      </c>
    </row>
    <row r="7" customFormat="false" ht="23.25" hidden="false" customHeight="true" outlineLevel="0" collapsed="false">
      <c r="A7" s="7" t="s">
        <v>1381</v>
      </c>
      <c r="B7" s="7" t="s">
        <v>1382</v>
      </c>
      <c r="C7" s="32" t="n">
        <f aca="false">IF(Cronograma!$D$8=0,0,Cronograma!$N$8*MAX(0,MIN(Cronograma!$G$8,1*52/12)-MAX(Cronograma!$F$8,(1-1)*52/12))/Cronograma!$D$8)</f>
        <v>5414979.75708502</v>
      </c>
      <c r="D7" s="32" t="n">
        <f aca="false">IF(Cronograma!$D$8=0,0,Cronograma!$N$8*MAX(0,MIN(Cronograma!$G$8,2*52/12)-MAX(Cronograma!$F$8,(2-1)*52/12))/Cronograma!$D$8)</f>
        <v>17598684.2105263</v>
      </c>
      <c r="E7" s="32" t="n">
        <f aca="false">IF(Cronograma!$D$8=0,0,Cronograma!$N$8*MAX(0,MIN(Cronograma!$G$8,3*52/12)-MAX(Cronograma!$F$8,(3-1)*52/12))/Cronograma!$D$8)</f>
        <v>17598684.2105263</v>
      </c>
      <c r="F7" s="32" t="n">
        <f aca="false">IF(Cronograma!$D$8=0,0,Cronograma!$N$8*MAX(0,MIN(Cronograma!$G$8,4*52/12)-MAX(Cronograma!$F$8,(4-1)*52/12))/Cronograma!$D$8)</f>
        <v>17598684.2105263</v>
      </c>
      <c r="G7" s="32" t="n">
        <f aca="false">IF(Cronograma!$D$8=0,0,Cronograma!$N$8*MAX(0,MIN(Cronograma!$G$8,5*52/12)-MAX(Cronograma!$F$8,(5-1)*52/12))/Cronograma!$D$8)</f>
        <v>17598684.2105263</v>
      </c>
      <c r="H7" s="32" t="n">
        <f aca="false">IF(Cronograma!$D$8=0,0,Cronograma!$N$8*MAX(0,MIN(Cronograma!$G$8,6*52/12)-MAX(Cronograma!$F$8,(6-1)*52/12))/Cronograma!$D$8)</f>
        <v>17598684.2105263</v>
      </c>
      <c r="I7" s="32" t="n">
        <f aca="false">IF(Cronograma!$D$8=0,0,Cronograma!$N$8*MAX(0,MIN(Cronograma!$G$8,7*52/12)-MAX(Cronograma!$F$8,(7-1)*52/12))/Cronograma!$D$8)</f>
        <v>17598684.2105263</v>
      </c>
      <c r="J7" s="32" t="n">
        <f aca="false">IF(Cronograma!$D$8=0,0,Cronograma!$N$8*MAX(0,MIN(Cronograma!$G$8,8*52/12)-MAX(Cronograma!$F$8,(8-1)*52/12))/Cronograma!$D$8)</f>
        <v>17598684.2105263</v>
      </c>
      <c r="K7" s="32" t="n">
        <f aca="false">IF(Cronograma!$D$8=0,0,Cronograma!$N$8*MAX(0,MIN(Cronograma!$G$8,9*52/12)-MAX(Cronograma!$F$8,(9-1)*52/12))/Cronograma!$D$8)</f>
        <v>17598684.2105263</v>
      </c>
      <c r="L7" s="32" t="n">
        <f aca="false">IF(Cronograma!$D$8=0,0,Cronograma!$N$8*MAX(0,MIN(Cronograma!$G$8,10*52/12)-MAX(Cronograma!$F$8,(10-1)*52/12))/Cronograma!$D$8)</f>
        <v>17598684.2105263</v>
      </c>
      <c r="M7" s="32" t="n">
        <f aca="false">IF(Cronograma!$D$8=0,0,Cronograma!$N$8*MAX(0,MIN(Cronograma!$G$8,11*52/12)-MAX(Cronograma!$F$8,(11-1)*52/12))/Cronograma!$D$8)</f>
        <v>14891194.3319838</v>
      </c>
      <c r="N7" s="32" t="n">
        <f aca="false">IF(Cronograma!$D$8=0,0,Cronograma!$N$8*MAX(0,MIN(Cronograma!$G$8,12*52/12)-MAX(Cronograma!$F$8,(12-1)*52/12))/Cronograma!$D$8)</f>
        <v>0</v>
      </c>
      <c r="O7" s="32" t="n">
        <f aca="false">SUM(C7:N7)</f>
        <v>178694331.983806</v>
      </c>
    </row>
    <row r="8" customFormat="false" ht="15" hidden="false" customHeight="true" outlineLevel="0" collapsed="false">
      <c r="A8" s="7" t="s">
        <v>1383</v>
      </c>
      <c r="B8" s="7" t="s">
        <v>1384</v>
      </c>
      <c r="C8" s="32" t="n">
        <f aca="false">IF(Cronograma!$D$9=0,0,Cronograma!$N$9*MAX(0,MIN(Cronograma!$G$9,1*52/12)-MAX(Cronograma!$F$9,(1-1)*52/12))/Cronograma!$D$9)</f>
        <v>77975708.5020243</v>
      </c>
      <c r="D8" s="32" t="n">
        <f aca="false">IF(Cronograma!$D$9=0,0,Cronograma!$N$9*MAX(0,MIN(Cronograma!$G$9,2*52/12)-MAX(Cronograma!$F$9,(2-1)*52/12))/Cronograma!$D$9)</f>
        <v>0</v>
      </c>
      <c r="E8" s="32" t="n">
        <f aca="false">IF(Cronograma!$D$9=0,0,Cronograma!$N$9*MAX(0,MIN(Cronograma!$G$9,3*52/12)-MAX(Cronograma!$F$9,(3-1)*52/12))/Cronograma!$D$9)</f>
        <v>0</v>
      </c>
      <c r="F8" s="32" t="n">
        <f aca="false">IF(Cronograma!$D$9=0,0,Cronograma!$N$9*MAX(0,MIN(Cronograma!$G$9,4*52/12)-MAX(Cronograma!$F$9,(4-1)*52/12))/Cronograma!$D$9)</f>
        <v>0</v>
      </c>
      <c r="G8" s="32" t="n">
        <f aca="false">IF(Cronograma!$D$9=0,0,Cronograma!$N$9*MAX(0,MIN(Cronograma!$G$9,5*52/12)-MAX(Cronograma!$F$9,(5-1)*52/12))/Cronograma!$D$9)</f>
        <v>0</v>
      </c>
      <c r="H8" s="32" t="n">
        <f aca="false">IF(Cronograma!$D$9=0,0,Cronograma!$N$9*MAX(0,MIN(Cronograma!$G$9,6*52/12)-MAX(Cronograma!$F$9,(6-1)*52/12))/Cronograma!$D$9)</f>
        <v>0</v>
      </c>
      <c r="I8" s="32" t="n">
        <f aca="false">IF(Cronograma!$D$9=0,0,Cronograma!$N$9*MAX(0,MIN(Cronograma!$G$9,7*52/12)-MAX(Cronograma!$F$9,(7-1)*52/12))/Cronograma!$D$9)</f>
        <v>0</v>
      </c>
      <c r="J8" s="32" t="n">
        <f aca="false">IF(Cronograma!$D$9=0,0,Cronograma!$N$9*MAX(0,MIN(Cronograma!$G$9,8*52/12)-MAX(Cronograma!$F$9,(8-1)*52/12))/Cronograma!$D$9)</f>
        <v>0</v>
      </c>
      <c r="K8" s="32" t="n">
        <f aca="false">IF(Cronograma!$D$9=0,0,Cronograma!$N$9*MAX(0,MIN(Cronograma!$G$9,9*52/12)-MAX(Cronograma!$F$9,(9-1)*52/12))/Cronograma!$D$9)</f>
        <v>0</v>
      </c>
      <c r="L8" s="32" t="n">
        <f aca="false">IF(Cronograma!$D$9=0,0,Cronograma!$N$9*MAX(0,MIN(Cronograma!$G$9,10*52/12)-MAX(Cronograma!$F$9,(10-1)*52/12))/Cronograma!$D$9)</f>
        <v>0</v>
      </c>
      <c r="M8" s="32" t="n">
        <f aca="false">IF(Cronograma!$D$9=0,0,Cronograma!$N$9*MAX(0,MIN(Cronograma!$G$9,11*52/12)-MAX(Cronograma!$F$9,(11-1)*52/12))/Cronograma!$D$9)</f>
        <v>0</v>
      </c>
      <c r="N8" s="32" t="n">
        <f aca="false">IF(Cronograma!$D$9=0,0,Cronograma!$N$9*MAX(0,MIN(Cronograma!$G$9,12*52/12)-MAX(Cronograma!$F$9,(12-1)*52/12))/Cronograma!$D$9)</f>
        <v>0</v>
      </c>
      <c r="O8" s="32" t="n">
        <f aca="false">SUM(C8:N8)</f>
        <v>77975708.5020243</v>
      </c>
    </row>
    <row r="9" customFormat="false" ht="15" hidden="false" customHeight="true" outlineLevel="0" collapsed="false">
      <c r="A9" s="7" t="s">
        <v>1386</v>
      </c>
      <c r="B9" s="7" t="s">
        <v>1387</v>
      </c>
      <c r="C9" s="32" t="n">
        <f aca="false">IF(Cronograma!$D$10=0,0,Cronograma!$N$10*MAX(0,MIN(Cronograma!$G$10,1*52/12)-MAX(Cronograma!$F$10,(1-1)*52/12))/Cronograma!$D$10)</f>
        <v>5414979.75708502</v>
      </c>
      <c r="D9" s="32" t="n">
        <f aca="false">IF(Cronograma!$D$10=0,0,Cronograma!$N$10*MAX(0,MIN(Cronograma!$G$10,2*52/12)-MAX(Cronograma!$F$10,(2-1)*52/12))/Cronograma!$D$10)</f>
        <v>43319838.0566802</v>
      </c>
      <c r="E9" s="32" t="n">
        <f aca="false">IF(Cronograma!$D$10=0,0,Cronograma!$N$10*MAX(0,MIN(Cronograma!$G$10,3*52/12)-MAX(Cronograma!$F$10,(3-1)*52/12))/Cronograma!$D$10)</f>
        <v>0</v>
      </c>
      <c r="F9" s="32" t="n">
        <f aca="false">IF(Cronograma!$D$10=0,0,Cronograma!$N$10*MAX(0,MIN(Cronograma!$G$10,4*52/12)-MAX(Cronograma!$F$10,(4-1)*52/12))/Cronograma!$D$10)</f>
        <v>0</v>
      </c>
      <c r="G9" s="32" t="n">
        <f aca="false">IF(Cronograma!$D$10=0,0,Cronograma!$N$10*MAX(0,MIN(Cronograma!$G$10,5*52/12)-MAX(Cronograma!$F$10,(5-1)*52/12))/Cronograma!$D$10)</f>
        <v>0</v>
      </c>
      <c r="H9" s="32" t="n">
        <f aca="false">IF(Cronograma!$D$10=0,0,Cronograma!$N$10*MAX(0,MIN(Cronograma!$G$10,6*52/12)-MAX(Cronograma!$F$10,(6-1)*52/12))/Cronograma!$D$10)</f>
        <v>0</v>
      </c>
      <c r="I9" s="32" t="n">
        <f aca="false">IF(Cronograma!$D$10=0,0,Cronograma!$N$10*MAX(0,MIN(Cronograma!$G$10,7*52/12)-MAX(Cronograma!$F$10,(7-1)*52/12))/Cronograma!$D$10)</f>
        <v>0</v>
      </c>
      <c r="J9" s="32" t="n">
        <f aca="false">IF(Cronograma!$D$10=0,0,Cronograma!$N$10*MAX(0,MIN(Cronograma!$G$10,8*52/12)-MAX(Cronograma!$F$10,(8-1)*52/12))/Cronograma!$D$10)</f>
        <v>0</v>
      </c>
      <c r="K9" s="32" t="n">
        <f aca="false">IF(Cronograma!$D$10=0,0,Cronograma!$N$10*MAX(0,MIN(Cronograma!$G$10,9*52/12)-MAX(Cronograma!$F$10,(9-1)*52/12))/Cronograma!$D$10)</f>
        <v>0</v>
      </c>
      <c r="L9" s="32" t="n">
        <f aca="false">IF(Cronograma!$D$10=0,0,Cronograma!$N$10*MAX(0,MIN(Cronograma!$G$10,10*52/12)-MAX(Cronograma!$F$10,(10-1)*52/12))/Cronograma!$D$10)</f>
        <v>0</v>
      </c>
      <c r="M9" s="32" t="n">
        <f aca="false">IF(Cronograma!$D$10=0,0,Cronograma!$N$10*MAX(0,MIN(Cronograma!$G$10,11*52/12)-MAX(Cronograma!$F$10,(11-1)*52/12))/Cronograma!$D$10)</f>
        <v>0</v>
      </c>
      <c r="N9" s="32" t="n">
        <f aca="false">IF(Cronograma!$D$10=0,0,Cronograma!$N$10*MAX(0,MIN(Cronograma!$G$10,12*52/12)-MAX(Cronograma!$F$10,(12-1)*52/12))/Cronograma!$D$10)</f>
        <v>0</v>
      </c>
      <c r="O9" s="32" t="n">
        <f aca="false">SUM(C9:N9)</f>
        <v>48734817.8137652</v>
      </c>
    </row>
    <row r="10" customFormat="false" ht="15" hidden="false" customHeight="true" outlineLevel="0" collapsed="false">
      <c r="A10" s="7" t="s">
        <v>1389</v>
      </c>
      <c r="B10" s="7" t="s">
        <v>1390</v>
      </c>
      <c r="C10" s="32" t="n">
        <f aca="false">IF(Cronograma!$D$11=0,0,Cronograma!$N$11*MAX(0,MIN(Cronograma!$G$11,1*52/12)-MAX(Cronograma!$F$11,(1-1)*52/12))/Cronograma!$D$11)</f>
        <v>6497975.70850202</v>
      </c>
      <c r="D10" s="32" t="n">
        <f aca="false">IF(Cronograma!$D$11=0,0,Cronograma!$N$11*MAX(0,MIN(Cronograma!$G$11,2*52/12)-MAX(Cronograma!$F$11,(2-1)*52/12))/Cronograma!$D$11)</f>
        <v>51983805.6680162</v>
      </c>
      <c r="E10" s="32" t="n">
        <f aca="false">IF(Cronograma!$D$11=0,0,Cronograma!$N$11*MAX(0,MIN(Cronograma!$G$11,3*52/12)-MAX(Cronograma!$F$11,(3-1)*52/12))/Cronograma!$D$11)</f>
        <v>0</v>
      </c>
      <c r="F10" s="32" t="n">
        <f aca="false">IF(Cronograma!$D$11=0,0,Cronograma!$N$11*MAX(0,MIN(Cronograma!$G$11,4*52/12)-MAX(Cronograma!$F$11,(4-1)*52/12))/Cronograma!$D$11)</f>
        <v>0</v>
      </c>
      <c r="G10" s="32" t="n">
        <f aca="false">IF(Cronograma!$D$11=0,0,Cronograma!$N$11*MAX(0,MIN(Cronograma!$G$11,5*52/12)-MAX(Cronograma!$F$11,(5-1)*52/12))/Cronograma!$D$11)</f>
        <v>0</v>
      </c>
      <c r="H10" s="32" t="n">
        <f aca="false">IF(Cronograma!$D$11=0,0,Cronograma!$N$11*MAX(0,MIN(Cronograma!$G$11,6*52/12)-MAX(Cronograma!$F$11,(6-1)*52/12))/Cronograma!$D$11)</f>
        <v>0</v>
      </c>
      <c r="I10" s="32" t="n">
        <f aca="false">IF(Cronograma!$D$11=0,0,Cronograma!$N$11*MAX(0,MIN(Cronograma!$G$11,7*52/12)-MAX(Cronograma!$F$11,(7-1)*52/12))/Cronograma!$D$11)</f>
        <v>0</v>
      </c>
      <c r="J10" s="32" t="n">
        <f aca="false">IF(Cronograma!$D$11=0,0,Cronograma!$N$11*MAX(0,MIN(Cronograma!$G$11,8*52/12)-MAX(Cronograma!$F$11,(8-1)*52/12))/Cronograma!$D$11)</f>
        <v>0</v>
      </c>
      <c r="K10" s="32" t="n">
        <f aca="false">IF(Cronograma!$D$11=0,0,Cronograma!$N$11*MAX(0,MIN(Cronograma!$G$11,9*52/12)-MAX(Cronograma!$F$11,(9-1)*52/12))/Cronograma!$D$11)</f>
        <v>0</v>
      </c>
      <c r="L10" s="32" t="n">
        <f aca="false">IF(Cronograma!$D$11=0,0,Cronograma!$N$11*MAX(0,MIN(Cronograma!$G$11,10*52/12)-MAX(Cronograma!$F$11,(10-1)*52/12))/Cronograma!$D$11)</f>
        <v>0</v>
      </c>
      <c r="M10" s="32" t="n">
        <f aca="false">IF(Cronograma!$D$11=0,0,Cronograma!$N$11*MAX(0,MIN(Cronograma!$G$11,11*52/12)-MAX(Cronograma!$F$11,(11-1)*52/12))/Cronograma!$D$11)</f>
        <v>0</v>
      </c>
      <c r="N10" s="32" t="n">
        <f aca="false">IF(Cronograma!$D$11=0,0,Cronograma!$N$11*MAX(0,MIN(Cronograma!$G$11,12*52/12)-MAX(Cronograma!$F$11,(12-1)*52/12))/Cronograma!$D$11)</f>
        <v>0</v>
      </c>
      <c r="O10" s="32" t="n">
        <f aca="false">SUM(C10:N10)</f>
        <v>58481781.3765182</v>
      </c>
    </row>
    <row r="11" customFormat="false" ht="15" hidden="false" customHeight="true" outlineLevel="0" collapsed="false">
      <c r="A11" s="7" t="s">
        <v>1392</v>
      </c>
      <c r="B11" s="7" t="s">
        <v>1393</v>
      </c>
      <c r="C11" s="32" t="n">
        <f aca="false">IF(Cronograma!$D$12=0,0,Cronograma!$N$12*MAX(0,MIN(Cronograma!$G$12,1*52/12)-MAX(Cronograma!$F$12,(1-1)*52/12))/Cronograma!$D$12)</f>
        <v>0</v>
      </c>
      <c r="D11" s="32" t="n">
        <f aca="false">IF(Cronograma!$D$12=0,0,Cronograma!$N$12*MAX(0,MIN(Cronograma!$G$12,2*52/12)-MAX(Cronograma!$F$12,(2-1)*52/12))/Cronograma!$D$12)</f>
        <v>0</v>
      </c>
      <c r="E11" s="32" t="n">
        <f aca="false">IF(Cronograma!$D$12=0,0,Cronograma!$N$12*MAX(0,MIN(Cronograma!$G$12,3*52/12)-MAX(Cronograma!$F$12,(3-1)*52/12))/Cronograma!$D$12)</f>
        <v>0</v>
      </c>
      <c r="F11" s="32" t="n">
        <f aca="false">IF(Cronograma!$D$12=0,0,Cronograma!$N$12*MAX(0,MIN(Cronograma!$G$12,4*52/12)-MAX(Cronograma!$F$12,(4-1)*52/12))/Cronograma!$D$12)</f>
        <v>0</v>
      </c>
      <c r="G11" s="32" t="n">
        <f aca="false">IF(Cronograma!$D$12=0,0,Cronograma!$N$12*MAX(0,MIN(Cronograma!$G$12,5*52/12)-MAX(Cronograma!$F$12,(5-1)*52/12))/Cronograma!$D$12)</f>
        <v>0</v>
      </c>
      <c r="H11" s="32" t="n">
        <f aca="false">IF(Cronograma!$D$12=0,0,Cronograma!$N$12*MAX(0,MIN(Cronograma!$G$12,6*52/12)-MAX(Cronograma!$F$12,(6-1)*52/12))/Cronograma!$D$12)</f>
        <v>0</v>
      </c>
      <c r="I11" s="32" t="n">
        <f aca="false">IF(Cronograma!$D$12=0,0,Cronograma!$N$12*MAX(0,MIN(Cronograma!$G$12,7*52/12)-MAX(Cronograma!$F$12,(7-1)*52/12))/Cronograma!$D$12)</f>
        <v>0</v>
      </c>
      <c r="J11" s="32" t="n">
        <f aca="false">IF(Cronograma!$D$12=0,0,Cronograma!$N$12*MAX(0,MIN(Cronograma!$G$12,8*52/12)-MAX(Cronograma!$F$12,(8-1)*52/12))/Cronograma!$D$12)</f>
        <v>0</v>
      </c>
      <c r="K11" s="32" t="n">
        <f aca="false">IF(Cronograma!$D$12=0,0,Cronograma!$N$12*MAX(0,MIN(Cronograma!$G$12,9*52/12)-MAX(Cronograma!$F$12,(9-1)*52/12))/Cronograma!$D$12)</f>
        <v>0</v>
      </c>
      <c r="L11" s="32" t="n">
        <f aca="false">IF(Cronograma!$D$12=0,0,Cronograma!$N$12*MAX(0,MIN(Cronograma!$G$12,10*52/12)-MAX(Cronograma!$F$12,(10-1)*52/12))/Cronograma!$D$12)</f>
        <v>0</v>
      </c>
      <c r="M11" s="32" t="n">
        <f aca="false">IF(Cronograma!$D$12=0,0,Cronograma!$N$12*MAX(0,MIN(Cronograma!$G$12,11*52/12)-MAX(Cronograma!$F$12,(11-1)*52/12))/Cronograma!$D$12)</f>
        <v>0</v>
      </c>
      <c r="N11" s="32" t="n">
        <f aca="false">IF(Cronograma!$D$12=0,0,Cronograma!$N$12*MAX(0,MIN(Cronograma!$G$12,12*52/12)-MAX(Cronograma!$F$12,(12-1)*52/12))/Cronograma!$D$12)</f>
        <v>0</v>
      </c>
      <c r="O11" s="32" t="n">
        <f aca="false">SUM(C11:N11)</f>
        <v>0</v>
      </c>
    </row>
    <row r="12" customFormat="false" ht="15" hidden="false" customHeight="true" outlineLevel="0" collapsed="false">
      <c r="A12" s="7" t="s">
        <v>1395</v>
      </c>
      <c r="B12" s="7" t="s">
        <v>1396</v>
      </c>
      <c r="C12" s="32" t="n">
        <f aca="false">IF(Cronograma!$D$13=0,0,Cronograma!$N$13*MAX(0,MIN(Cronograma!$G$13,1*52/12)-MAX(Cronograma!$F$13,(1-1)*52/12))/Cronograma!$D$13)</f>
        <v>0</v>
      </c>
      <c r="D12" s="32" t="n">
        <f aca="false">IF(Cronograma!$D$13=0,0,Cronograma!$N$13*MAX(0,MIN(Cronograma!$G$13,2*52/12)-MAX(Cronograma!$F$13,(2-1)*52/12))/Cronograma!$D$13)</f>
        <v>21659919.0283401</v>
      </c>
      <c r="E12" s="32" t="n">
        <f aca="false">IF(Cronograma!$D$13=0,0,Cronograma!$N$13*MAX(0,MIN(Cronograma!$G$13,3*52/12)-MAX(Cronograma!$F$13,(3-1)*52/12))/Cronograma!$D$13)</f>
        <v>43319838.0566802</v>
      </c>
      <c r="F12" s="32" t="n">
        <f aca="false">IF(Cronograma!$D$13=0,0,Cronograma!$N$13*MAX(0,MIN(Cronograma!$G$13,4*52/12)-MAX(Cronograma!$F$13,(4-1)*52/12))/Cronograma!$D$13)</f>
        <v>0</v>
      </c>
      <c r="G12" s="32" t="n">
        <f aca="false">IF(Cronograma!$D$13=0,0,Cronograma!$N$13*MAX(0,MIN(Cronograma!$G$13,5*52/12)-MAX(Cronograma!$F$13,(5-1)*52/12))/Cronograma!$D$13)</f>
        <v>0</v>
      </c>
      <c r="H12" s="32" t="n">
        <f aca="false">IF(Cronograma!$D$13=0,0,Cronograma!$N$13*MAX(0,MIN(Cronograma!$G$13,6*52/12)-MAX(Cronograma!$F$13,(6-1)*52/12))/Cronograma!$D$13)</f>
        <v>0</v>
      </c>
      <c r="I12" s="32" t="n">
        <f aca="false">IF(Cronograma!$D$13=0,0,Cronograma!$N$13*MAX(0,MIN(Cronograma!$G$13,7*52/12)-MAX(Cronograma!$F$13,(7-1)*52/12))/Cronograma!$D$13)</f>
        <v>0</v>
      </c>
      <c r="J12" s="32" t="n">
        <f aca="false">IF(Cronograma!$D$13=0,0,Cronograma!$N$13*MAX(0,MIN(Cronograma!$G$13,8*52/12)-MAX(Cronograma!$F$13,(8-1)*52/12))/Cronograma!$D$13)</f>
        <v>0</v>
      </c>
      <c r="K12" s="32" t="n">
        <f aca="false">IF(Cronograma!$D$13=0,0,Cronograma!$N$13*MAX(0,MIN(Cronograma!$G$13,9*52/12)-MAX(Cronograma!$F$13,(9-1)*52/12))/Cronograma!$D$13)</f>
        <v>0</v>
      </c>
      <c r="L12" s="32" t="n">
        <f aca="false">IF(Cronograma!$D$13=0,0,Cronograma!$N$13*MAX(0,MIN(Cronograma!$G$13,10*52/12)-MAX(Cronograma!$F$13,(10-1)*52/12))/Cronograma!$D$13)</f>
        <v>0</v>
      </c>
      <c r="M12" s="32" t="n">
        <f aca="false">IF(Cronograma!$D$13=0,0,Cronograma!$N$13*MAX(0,MIN(Cronograma!$G$13,11*52/12)-MAX(Cronograma!$F$13,(11-1)*52/12))/Cronograma!$D$13)</f>
        <v>0</v>
      </c>
      <c r="N12" s="32" t="n">
        <f aca="false">IF(Cronograma!$D$13=0,0,Cronograma!$N$13*MAX(0,MIN(Cronograma!$G$13,12*52/12)-MAX(Cronograma!$F$13,(12-1)*52/12))/Cronograma!$D$13)</f>
        <v>0</v>
      </c>
      <c r="O12" s="32" t="n">
        <f aca="false">SUM(C12:N12)</f>
        <v>64979757.0850203</v>
      </c>
    </row>
    <row r="13" customFormat="false" ht="15" hidden="false" customHeight="true" outlineLevel="0" collapsed="false">
      <c r="A13" s="7" t="s">
        <v>1398</v>
      </c>
      <c r="B13" s="7" t="s">
        <v>1399</v>
      </c>
      <c r="C13" s="32" t="n">
        <f aca="false">IF(Cronograma!$D$14=0,0,Cronograma!$N$14*MAX(0,MIN(Cronograma!$G$14,1*52/12)-MAX(Cronograma!$F$14,(1-1)*52/12))/Cronograma!$D$14)</f>
        <v>0</v>
      </c>
      <c r="D13" s="32" t="n">
        <f aca="false">IF(Cronograma!$D$14=0,0,Cronograma!$N$14*MAX(0,MIN(Cronograma!$G$14,2*52/12)-MAX(Cronograma!$F$14,(2-1)*52/12))/Cronograma!$D$14)</f>
        <v>18565644.8814343</v>
      </c>
      <c r="E13" s="32" t="n">
        <f aca="false">IF(Cronograma!$D$14=0,0,Cronograma!$N$14*MAX(0,MIN(Cronograma!$G$14,3*52/12)-MAX(Cronograma!$F$14,(3-1)*52/12))/Cronograma!$D$14)</f>
        <v>48270676.6917293</v>
      </c>
      <c r="F13" s="32" t="n">
        <f aca="false">IF(Cronograma!$D$14=0,0,Cronograma!$N$14*MAX(0,MIN(Cronograma!$G$14,4*52/12)-MAX(Cronograma!$F$14,(4-1)*52/12))/Cronograma!$D$14)</f>
        <v>11139386.9288606</v>
      </c>
      <c r="G13" s="32" t="n">
        <f aca="false">IF(Cronograma!$D$14=0,0,Cronograma!$N$14*MAX(0,MIN(Cronograma!$G$14,5*52/12)-MAX(Cronograma!$F$14,(5-1)*52/12))/Cronograma!$D$14)</f>
        <v>0</v>
      </c>
      <c r="H13" s="32" t="n">
        <f aca="false">IF(Cronograma!$D$14=0,0,Cronograma!$N$14*MAX(0,MIN(Cronograma!$G$14,6*52/12)-MAX(Cronograma!$F$14,(6-1)*52/12))/Cronograma!$D$14)</f>
        <v>0</v>
      </c>
      <c r="I13" s="32" t="n">
        <f aca="false">IF(Cronograma!$D$14=0,0,Cronograma!$N$14*MAX(0,MIN(Cronograma!$G$14,7*52/12)-MAX(Cronograma!$F$14,(7-1)*52/12))/Cronograma!$D$14)</f>
        <v>0</v>
      </c>
      <c r="J13" s="32" t="n">
        <f aca="false">IF(Cronograma!$D$14=0,0,Cronograma!$N$14*MAX(0,MIN(Cronograma!$G$14,8*52/12)-MAX(Cronograma!$F$14,(8-1)*52/12))/Cronograma!$D$14)</f>
        <v>0</v>
      </c>
      <c r="K13" s="32" t="n">
        <f aca="false">IF(Cronograma!$D$14=0,0,Cronograma!$N$14*MAX(0,MIN(Cronograma!$G$14,9*52/12)-MAX(Cronograma!$F$14,(9-1)*52/12))/Cronograma!$D$14)</f>
        <v>0</v>
      </c>
      <c r="L13" s="32" t="n">
        <f aca="false">IF(Cronograma!$D$14=0,0,Cronograma!$N$14*MAX(0,MIN(Cronograma!$G$14,10*52/12)-MAX(Cronograma!$F$14,(10-1)*52/12))/Cronograma!$D$14)</f>
        <v>0</v>
      </c>
      <c r="M13" s="32" t="n">
        <f aca="false">IF(Cronograma!$D$14=0,0,Cronograma!$N$14*MAX(0,MIN(Cronograma!$G$14,11*52/12)-MAX(Cronograma!$F$14,(11-1)*52/12))/Cronograma!$D$14)</f>
        <v>0</v>
      </c>
      <c r="N13" s="32" t="n">
        <f aca="false">IF(Cronograma!$D$14=0,0,Cronograma!$N$14*MAX(0,MIN(Cronograma!$G$14,12*52/12)-MAX(Cronograma!$F$14,(12-1)*52/12))/Cronograma!$D$14)</f>
        <v>0</v>
      </c>
      <c r="O13" s="32" t="n">
        <f aca="false">SUM(C13:N13)</f>
        <v>77975708.5020243</v>
      </c>
    </row>
    <row r="14" customFormat="false" ht="15" hidden="false" customHeight="true" outlineLevel="0" collapsed="false">
      <c r="A14" s="7" t="s">
        <v>1400</v>
      </c>
      <c r="B14" s="7" t="s">
        <v>1401</v>
      </c>
      <c r="C14" s="32" t="n">
        <f aca="false">IF(Cronograma!$D$15=0,0,Cronograma!$N$15*MAX(0,MIN(Cronograma!$G$15,1*52/12)-MAX(Cronograma!$F$15,(1-1)*52/12))/Cronograma!$D$15)</f>
        <v>0</v>
      </c>
      <c r="D14" s="32" t="n">
        <f aca="false">IF(Cronograma!$D$15=0,0,Cronograma!$N$15*MAX(0,MIN(Cronograma!$G$15,2*52/12)-MAX(Cronograma!$F$15,(2-1)*52/12))/Cronograma!$D$15)</f>
        <v>0</v>
      </c>
      <c r="E14" s="32" t="n">
        <f aca="false">IF(Cronograma!$D$15=0,0,Cronograma!$N$15*MAX(0,MIN(Cronograma!$G$15,3*52/12)-MAX(Cronograma!$F$15,(3-1)*52/12))/Cronograma!$D$15)</f>
        <v>9746963.56275304</v>
      </c>
      <c r="F14" s="32" t="n">
        <f aca="false">IF(Cronograma!$D$15=0,0,Cronograma!$N$15*MAX(0,MIN(Cronograma!$G$15,4*52/12)-MAX(Cronograma!$F$15,(4-1)*52/12))/Cronograma!$D$15)</f>
        <v>29240890.6882591</v>
      </c>
      <c r="G14" s="32" t="n">
        <f aca="false">IF(Cronograma!$D$15=0,0,Cronograma!$N$15*MAX(0,MIN(Cronograma!$G$15,5*52/12)-MAX(Cronograma!$F$15,(5-1)*52/12))/Cronograma!$D$15)</f>
        <v>0</v>
      </c>
      <c r="H14" s="32" t="n">
        <f aca="false">IF(Cronograma!$D$15=0,0,Cronograma!$N$15*MAX(0,MIN(Cronograma!$G$15,6*52/12)-MAX(Cronograma!$F$15,(6-1)*52/12))/Cronograma!$D$15)</f>
        <v>0</v>
      </c>
      <c r="I14" s="32" t="n">
        <f aca="false">IF(Cronograma!$D$15=0,0,Cronograma!$N$15*MAX(0,MIN(Cronograma!$G$15,7*52/12)-MAX(Cronograma!$F$15,(7-1)*52/12))/Cronograma!$D$15)</f>
        <v>0</v>
      </c>
      <c r="J14" s="32" t="n">
        <f aca="false">IF(Cronograma!$D$15=0,0,Cronograma!$N$15*MAX(0,MIN(Cronograma!$G$15,8*52/12)-MAX(Cronograma!$F$15,(8-1)*52/12))/Cronograma!$D$15)</f>
        <v>0</v>
      </c>
      <c r="K14" s="32" t="n">
        <f aca="false">IF(Cronograma!$D$15=0,0,Cronograma!$N$15*MAX(0,MIN(Cronograma!$G$15,9*52/12)-MAX(Cronograma!$F$15,(9-1)*52/12))/Cronograma!$D$15)</f>
        <v>0</v>
      </c>
      <c r="L14" s="32" t="n">
        <f aca="false">IF(Cronograma!$D$15=0,0,Cronograma!$N$15*MAX(0,MIN(Cronograma!$G$15,10*52/12)-MAX(Cronograma!$F$15,(10-1)*52/12))/Cronograma!$D$15)</f>
        <v>0</v>
      </c>
      <c r="M14" s="32" t="n">
        <f aca="false">IF(Cronograma!$D$15=0,0,Cronograma!$N$15*MAX(0,MIN(Cronograma!$G$15,11*52/12)-MAX(Cronograma!$F$15,(11-1)*52/12))/Cronograma!$D$15)</f>
        <v>0</v>
      </c>
      <c r="N14" s="32" t="n">
        <f aca="false">IF(Cronograma!$D$15=0,0,Cronograma!$N$15*MAX(0,MIN(Cronograma!$G$15,12*52/12)-MAX(Cronograma!$F$15,(12-1)*52/12))/Cronograma!$D$15)</f>
        <v>0</v>
      </c>
      <c r="O14" s="32" t="n">
        <f aca="false">SUM(C14:N14)</f>
        <v>38987854.2510122</v>
      </c>
    </row>
    <row r="15" customFormat="false" ht="15" hidden="false" customHeight="true" outlineLevel="0" collapsed="false">
      <c r="A15" s="7" t="s">
        <v>1402</v>
      </c>
      <c r="B15" s="7" t="s">
        <v>1522</v>
      </c>
      <c r="C15" s="32" t="n">
        <f aca="false">IF(Cronograma!$D$16=0,0,Cronograma!$N$16*MAX(0,MIN(Cronograma!$G$16,1*52/12)-MAX(Cronograma!$F$16,(1-1)*52/12))/Cronograma!$D$16)</f>
        <v>0</v>
      </c>
      <c r="D15" s="32" t="n">
        <f aca="false">IF(Cronograma!$D$16=0,0,Cronograma!$N$16*MAX(0,MIN(Cronograma!$G$16,2*52/12)-MAX(Cronograma!$F$16,(2-1)*52/12))/Cronograma!$D$16)</f>
        <v>21659919.0283401</v>
      </c>
      <c r="E15" s="32" t="n">
        <f aca="false">IF(Cronograma!$D$16=0,0,Cronograma!$N$16*MAX(0,MIN(Cronograma!$G$16,3*52/12)-MAX(Cronograma!$F$16,(3-1)*52/12))/Cronograma!$D$16)</f>
        <v>30323886.6396761</v>
      </c>
      <c r="F15" s="32" t="n">
        <f aca="false">IF(Cronograma!$D$16=0,0,Cronograma!$N$16*MAX(0,MIN(Cronograma!$G$16,4*52/12)-MAX(Cronograma!$F$16,(4-1)*52/12))/Cronograma!$D$16)</f>
        <v>0</v>
      </c>
      <c r="G15" s="32" t="n">
        <f aca="false">IF(Cronograma!$D$16=0,0,Cronograma!$N$16*MAX(0,MIN(Cronograma!$G$16,5*52/12)-MAX(Cronograma!$F$16,(5-1)*52/12))/Cronograma!$D$16)</f>
        <v>0</v>
      </c>
      <c r="H15" s="32" t="n">
        <f aca="false">IF(Cronograma!$D$16=0,0,Cronograma!$N$16*MAX(0,MIN(Cronograma!$G$16,6*52/12)-MAX(Cronograma!$F$16,(6-1)*52/12))/Cronograma!$D$16)</f>
        <v>0</v>
      </c>
      <c r="I15" s="32" t="n">
        <f aca="false">IF(Cronograma!$D$16=0,0,Cronograma!$N$16*MAX(0,MIN(Cronograma!$G$16,7*52/12)-MAX(Cronograma!$F$16,(7-1)*52/12))/Cronograma!$D$16)</f>
        <v>0</v>
      </c>
      <c r="J15" s="32" t="n">
        <f aca="false">IF(Cronograma!$D$16=0,0,Cronograma!$N$16*MAX(0,MIN(Cronograma!$G$16,8*52/12)-MAX(Cronograma!$F$16,(8-1)*52/12))/Cronograma!$D$16)</f>
        <v>0</v>
      </c>
      <c r="K15" s="32" t="n">
        <f aca="false">IF(Cronograma!$D$16=0,0,Cronograma!$N$16*MAX(0,MIN(Cronograma!$G$16,9*52/12)-MAX(Cronograma!$F$16,(9-1)*52/12))/Cronograma!$D$16)</f>
        <v>0</v>
      </c>
      <c r="L15" s="32" t="n">
        <f aca="false">IF(Cronograma!$D$16=0,0,Cronograma!$N$16*MAX(0,MIN(Cronograma!$G$16,10*52/12)-MAX(Cronograma!$F$16,(10-1)*52/12))/Cronograma!$D$16)</f>
        <v>0</v>
      </c>
      <c r="M15" s="32" t="n">
        <f aca="false">IF(Cronograma!$D$16=0,0,Cronograma!$N$16*MAX(0,MIN(Cronograma!$G$16,11*52/12)-MAX(Cronograma!$F$16,(11-1)*52/12))/Cronograma!$D$16)</f>
        <v>0</v>
      </c>
      <c r="N15" s="32" t="n">
        <f aca="false">IF(Cronograma!$D$16=0,0,Cronograma!$N$16*MAX(0,MIN(Cronograma!$G$16,12*52/12)-MAX(Cronograma!$F$16,(12-1)*52/12))/Cronograma!$D$16)</f>
        <v>0</v>
      </c>
      <c r="O15" s="32" t="n">
        <f aca="false">SUM(C15:N15)</f>
        <v>51983805.6680162</v>
      </c>
    </row>
    <row r="16" customFormat="false" ht="15" hidden="false" customHeight="true" outlineLevel="0" collapsed="false">
      <c r="A16" s="7" t="s">
        <v>1404</v>
      </c>
      <c r="B16" s="7" t="s">
        <v>1405</v>
      </c>
      <c r="C16" s="32" t="n">
        <f aca="false">IF(Cronograma!$D$17=0,0,Cronograma!$N$17*MAX(0,MIN(Cronograma!$G$17,1*52/12)-MAX(Cronograma!$F$17,(1-1)*52/12))/Cronograma!$D$17)</f>
        <v>0</v>
      </c>
      <c r="D16" s="32" t="n">
        <f aca="false">IF(Cronograma!$D$17=0,0,Cronograma!$N$17*MAX(0,MIN(Cronograma!$G$17,2*52/12)-MAX(Cronograma!$F$17,(2-1)*52/12))/Cronograma!$D$17)</f>
        <v>0</v>
      </c>
      <c r="E16" s="32" t="n">
        <f aca="false">IF(Cronograma!$D$17=0,0,Cronograma!$N$17*MAX(0,MIN(Cronograma!$G$17,3*52/12)-MAX(Cronograma!$F$17,(3-1)*52/12))/Cronograma!$D$17)</f>
        <v>12995951.417004</v>
      </c>
      <c r="F16" s="32" t="n">
        <f aca="false">IF(Cronograma!$D$17=0,0,Cronograma!$N$17*MAX(0,MIN(Cronograma!$G$17,4*52/12)-MAX(Cronograma!$F$17,(4-1)*52/12))/Cronograma!$D$17)</f>
        <v>12995951.417004</v>
      </c>
      <c r="G16" s="32" t="n">
        <f aca="false">IF(Cronograma!$D$17=0,0,Cronograma!$N$17*MAX(0,MIN(Cronograma!$G$17,5*52/12)-MAX(Cronograma!$F$17,(5-1)*52/12))/Cronograma!$D$17)</f>
        <v>0</v>
      </c>
      <c r="H16" s="32" t="n">
        <f aca="false">IF(Cronograma!$D$17=0,0,Cronograma!$N$17*MAX(0,MIN(Cronograma!$G$17,6*52/12)-MAX(Cronograma!$F$17,(6-1)*52/12))/Cronograma!$D$17)</f>
        <v>0</v>
      </c>
      <c r="I16" s="32" t="n">
        <f aca="false">IF(Cronograma!$D$17=0,0,Cronograma!$N$17*MAX(0,MIN(Cronograma!$G$17,7*52/12)-MAX(Cronograma!$F$17,(7-1)*52/12))/Cronograma!$D$17)</f>
        <v>0</v>
      </c>
      <c r="J16" s="32" t="n">
        <f aca="false">IF(Cronograma!$D$17=0,0,Cronograma!$N$17*MAX(0,MIN(Cronograma!$G$17,8*52/12)-MAX(Cronograma!$F$17,(8-1)*52/12))/Cronograma!$D$17)</f>
        <v>0</v>
      </c>
      <c r="K16" s="32" t="n">
        <f aca="false">IF(Cronograma!$D$17=0,0,Cronograma!$N$17*MAX(0,MIN(Cronograma!$G$17,9*52/12)-MAX(Cronograma!$F$17,(9-1)*52/12))/Cronograma!$D$17)</f>
        <v>0</v>
      </c>
      <c r="L16" s="32" t="n">
        <f aca="false">IF(Cronograma!$D$17=0,0,Cronograma!$N$17*MAX(0,MIN(Cronograma!$G$17,10*52/12)-MAX(Cronograma!$F$17,(10-1)*52/12))/Cronograma!$D$17)</f>
        <v>0</v>
      </c>
      <c r="M16" s="32" t="n">
        <f aca="false">IF(Cronograma!$D$17=0,0,Cronograma!$N$17*MAX(0,MIN(Cronograma!$G$17,11*52/12)-MAX(Cronograma!$F$17,(11-1)*52/12))/Cronograma!$D$17)</f>
        <v>0</v>
      </c>
      <c r="N16" s="32" t="n">
        <f aca="false">IF(Cronograma!$D$17=0,0,Cronograma!$N$17*MAX(0,MIN(Cronograma!$G$17,12*52/12)-MAX(Cronograma!$F$17,(12-1)*52/12))/Cronograma!$D$17)</f>
        <v>0</v>
      </c>
      <c r="O16" s="32" t="n">
        <f aca="false">SUM(C16:N16)</f>
        <v>25991902.8340081</v>
      </c>
    </row>
    <row r="17" customFormat="false" ht="15" hidden="false" customHeight="true" outlineLevel="0" collapsed="false">
      <c r="A17" s="7" t="s">
        <v>1407</v>
      </c>
      <c r="B17" s="7" t="s">
        <v>1408</v>
      </c>
      <c r="C17" s="32" t="n">
        <f aca="false">IF(Cronograma!$D$18=0,0,Cronograma!$N$18*MAX(0,MIN(Cronograma!$G$18,1*52/12)-MAX(Cronograma!$F$18,(1-1)*52/12))/Cronograma!$D$18)</f>
        <v>0</v>
      </c>
      <c r="D17" s="32" t="n">
        <f aca="false">IF(Cronograma!$D$18=0,0,Cronograma!$N$18*MAX(0,MIN(Cronograma!$G$18,2*52/12)-MAX(Cronograma!$F$18,(2-1)*52/12))/Cronograma!$D$18)</f>
        <v>0</v>
      </c>
      <c r="E17" s="32" t="n">
        <f aca="false">IF(Cronograma!$D$18=0,0,Cronograma!$N$18*MAX(0,MIN(Cronograma!$G$18,3*52/12)-MAX(Cronograma!$F$18,(3-1)*52/12))/Cronograma!$D$18)</f>
        <v>0</v>
      </c>
      <c r="F17" s="32" t="n">
        <f aca="false">IF(Cronograma!$D$18=0,0,Cronograma!$N$18*MAX(0,MIN(Cronograma!$G$18,4*52/12)-MAX(Cronograma!$F$18,(4-1)*52/12))/Cronograma!$D$18)</f>
        <v>25269905.5330634</v>
      </c>
      <c r="G17" s="32" t="n">
        <f aca="false">IF(Cronograma!$D$18=0,0,Cronograma!$N$18*MAX(0,MIN(Cronograma!$G$18,5*52/12)-MAX(Cronograma!$F$18,(5-1)*52/12))/Cronograma!$D$18)</f>
        <v>32850877.1929825</v>
      </c>
      <c r="H17" s="32" t="n">
        <f aca="false">IF(Cronograma!$D$18=0,0,Cronograma!$N$18*MAX(0,MIN(Cronograma!$G$18,6*52/12)-MAX(Cronograma!$F$18,(6-1)*52/12))/Cronograma!$D$18)</f>
        <v>32850877.1929825</v>
      </c>
      <c r="I17" s="32" t="n">
        <f aca="false">IF(Cronograma!$D$18=0,0,Cronograma!$N$18*MAX(0,MIN(Cronograma!$G$18,7*52/12)-MAX(Cronograma!$F$18,(7-1)*52/12))/Cronograma!$D$18)</f>
        <v>0</v>
      </c>
      <c r="J17" s="32" t="n">
        <f aca="false">IF(Cronograma!$D$18=0,0,Cronograma!$N$18*MAX(0,MIN(Cronograma!$G$18,8*52/12)-MAX(Cronograma!$F$18,(8-1)*52/12))/Cronograma!$D$18)</f>
        <v>0</v>
      </c>
      <c r="K17" s="32" t="n">
        <f aca="false">IF(Cronograma!$D$18=0,0,Cronograma!$N$18*MAX(0,MIN(Cronograma!$G$18,9*52/12)-MAX(Cronograma!$F$18,(9-1)*52/12))/Cronograma!$D$18)</f>
        <v>0</v>
      </c>
      <c r="L17" s="32" t="n">
        <f aca="false">IF(Cronograma!$D$18=0,0,Cronograma!$N$18*MAX(0,MIN(Cronograma!$G$18,10*52/12)-MAX(Cronograma!$F$18,(10-1)*52/12))/Cronograma!$D$18)</f>
        <v>0</v>
      </c>
      <c r="M17" s="32" t="n">
        <f aca="false">IF(Cronograma!$D$18=0,0,Cronograma!$N$18*MAX(0,MIN(Cronograma!$G$18,11*52/12)-MAX(Cronograma!$F$18,(11-1)*52/12))/Cronograma!$D$18)</f>
        <v>0</v>
      </c>
      <c r="N17" s="32" t="n">
        <f aca="false">IF(Cronograma!$D$18=0,0,Cronograma!$N$18*MAX(0,MIN(Cronograma!$G$18,12*52/12)-MAX(Cronograma!$F$18,(12-1)*52/12))/Cronograma!$D$18)</f>
        <v>0</v>
      </c>
      <c r="O17" s="32" t="n">
        <f aca="false">SUM(C17:N17)</f>
        <v>90971659.9190283</v>
      </c>
    </row>
    <row r="18" customFormat="false" ht="15" hidden="false" customHeight="true" outlineLevel="0" collapsed="false">
      <c r="A18" s="7" t="s">
        <v>1409</v>
      </c>
      <c r="B18" s="7" t="s">
        <v>1410</v>
      </c>
      <c r="C18" s="32" t="n">
        <f aca="false">IF(Cronograma!$D$19=0,0,Cronograma!$N$19*MAX(0,MIN(Cronograma!$G$19,1*52/12)-MAX(Cronograma!$F$19,(1-1)*52/12))/Cronograma!$D$19)</f>
        <v>0</v>
      </c>
      <c r="D18" s="32" t="n">
        <f aca="false">IF(Cronograma!$D$19=0,0,Cronograma!$N$19*MAX(0,MIN(Cronograma!$G$19,2*52/12)-MAX(Cronograma!$F$19,(2-1)*52/12))/Cronograma!$D$19)</f>
        <v>0</v>
      </c>
      <c r="E18" s="32" t="n">
        <f aca="false">IF(Cronograma!$D$19=0,0,Cronograma!$N$19*MAX(0,MIN(Cronograma!$G$19,3*52/12)-MAX(Cronograma!$F$19,(3-1)*52/12))/Cronograma!$D$19)</f>
        <v>0</v>
      </c>
      <c r="F18" s="32" t="n">
        <f aca="false">IF(Cronograma!$D$19=0,0,Cronograma!$N$19*MAX(0,MIN(Cronograma!$G$19,4*52/12)-MAX(Cronograma!$F$19,(4-1)*52/12))/Cronograma!$D$19)</f>
        <v>8663967.61133603</v>
      </c>
      <c r="G18" s="32" t="n">
        <f aca="false">IF(Cronograma!$D$19=0,0,Cronograma!$N$19*MAX(0,MIN(Cronograma!$G$19,5*52/12)-MAX(Cronograma!$F$19,(5-1)*52/12))/Cronograma!$D$19)</f>
        <v>28157894.7368421</v>
      </c>
      <c r="H18" s="32" t="n">
        <f aca="false">IF(Cronograma!$D$19=0,0,Cronograma!$N$19*MAX(0,MIN(Cronograma!$G$19,6*52/12)-MAX(Cronograma!$F$19,(6-1)*52/12))/Cronograma!$D$19)</f>
        <v>28157894.7368421</v>
      </c>
      <c r="I18" s="32" t="n">
        <f aca="false">IF(Cronograma!$D$19=0,0,Cronograma!$N$19*MAX(0,MIN(Cronograma!$G$19,7*52/12)-MAX(Cronograma!$F$19,(7-1)*52/12))/Cronograma!$D$19)</f>
        <v>0</v>
      </c>
      <c r="J18" s="32" t="n">
        <f aca="false">IF(Cronograma!$D$19=0,0,Cronograma!$N$19*MAX(0,MIN(Cronograma!$G$19,8*52/12)-MAX(Cronograma!$F$19,(8-1)*52/12))/Cronograma!$D$19)</f>
        <v>0</v>
      </c>
      <c r="K18" s="32" t="n">
        <f aca="false">IF(Cronograma!$D$19=0,0,Cronograma!$N$19*MAX(0,MIN(Cronograma!$G$19,9*52/12)-MAX(Cronograma!$F$19,(9-1)*52/12))/Cronograma!$D$19)</f>
        <v>0</v>
      </c>
      <c r="L18" s="32" t="n">
        <f aca="false">IF(Cronograma!$D$19=0,0,Cronograma!$N$19*MAX(0,MIN(Cronograma!$G$19,10*52/12)-MAX(Cronograma!$F$19,(10-1)*52/12))/Cronograma!$D$19)</f>
        <v>0</v>
      </c>
      <c r="M18" s="32" t="n">
        <f aca="false">IF(Cronograma!$D$19=0,0,Cronograma!$N$19*MAX(0,MIN(Cronograma!$G$19,11*52/12)-MAX(Cronograma!$F$19,(11-1)*52/12))/Cronograma!$D$19)</f>
        <v>0</v>
      </c>
      <c r="N18" s="32" t="n">
        <f aca="false">IF(Cronograma!$D$19=0,0,Cronograma!$N$19*MAX(0,MIN(Cronograma!$G$19,12*52/12)-MAX(Cronograma!$F$19,(12-1)*52/12))/Cronograma!$D$19)</f>
        <v>0</v>
      </c>
      <c r="O18" s="32" t="n">
        <f aca="false">SUM(C18:N18)</f>
        <v>64979757.0850203</v>
      </c>
    </row>
    <row r="19" customFormat="false" ht="15" hidden="false" customHeight="true" outlineLevel="0" collapsed="false">
      <c r="A19" s="7" t="s">
        <v>1411</v>
      </c>
      <c r="B19" s="7" t="s">
        <v>1412</v>
      </c>
      <c r="C19" s="32" t="n">
        <f aca="false">IF(Cronograma!$D$20=0,0,Cronograma!$N$20*MAX(0,MIN(Cronograma!$G$20,1*52/12)-MAX(Cronograma!$F$20,(1-1)*52/12))/Cronograma!$D$20)</f>
        <v>0</v>
      </c>
      <c r="D19" s="32" t="n">
        <f aca="false">IF(Cronograma!$D$20=0,0,Cronograma!$N$20*MAX(0,MIN(Cronograma!$G$20,2*52/12)-MAX(Cronograma!$F$20,(2-1)*52/12))/Cronograma!$D$20)</f>
        <v>0</v>
      </c>
      <c r="E19" s="32" t="n">
        <f aca="false">IF(Cronograma!$D$20=0,0,Cronograma!$N$20*MAX(0,MIN(Cronograma!$G$20,3*52/12)-MAX(Cronograma!$F$20,(3-1)*52/12))/Cronograma!$D$20)</f>
        <v>0</v>
      </c>
      <c r="F19" s="32" t="n">
        <f aca="false">IF(Cronograma!$D$20=0,0,Cronograma!$N$20*MAX(0,MIN(Cronograma!$G$20,4*52/12)-MAX(Cronograma!$F$20,(4-1)*52/12))/Cronograma!$D$20)</f>
        <v>1547137.07345286</v>
      </c>
      <c r="G19" s="32" t="n">
        <f aca="false">IF(Cronograma!$D$20=0,0,Cronograma!$N$20*MAX(0,MIN(Cronograma!$G$20,5*52/12)-MAX(Cronograma!$F$20,(5-1)*52/12))/Cronograma!$D$20)</f>
        <v>20112781.9548872</v>
      </c>
      <c r="H19" s="32" t="n">
        <f aca="false">IF(Cronograma!$D$20=0,0,Cronograma!$N$20*MAX(0,MIN(Cronograma!$G$20,6*52/12)-MAX(Cronograma!$F$20,(6-1)*52/12))/Cronograma!$D$20)</f>
        <v>20112781.9548872</v>
      </c>
      <c r="I19" s="32" t="n">
        <f aca="false">IF(Cronograma!$D$20=0,0,Cronograma!$N$20*MAX(0,MIN(Cronograma!$G$20,7*52/12)-MAX(Cronograma!$F$20,(7-1)*52/12))/Cronograma!$D$20)</f>
        <v>20112781.9548872</v>
      </c>
      <c r="J19" s="32" t="n">
        <f aca="false">IF(Cronograma!$D$20=0,0,Cronograma!$N$20*MAX(0,MIN(Cronograma!$G$20,8*52/12)-MAX(Cronograma!$F$20,(8-1)*52/12))/Cronograma!$D$20)</f>
        <v>3094274.14690573</v>
      </c>
      <c r="K19" s="32" t="n">
        <f aca="false">IF(Cronograma!$D$20=0,0,Cronograma!$N$20*MAX(0,MIN(Cronograma!$G$20,9*52/12)-MAX(Cronograma!$F$20,(9-1)*52/12))/Cronograma!$D$20)</f>
        <v>0</v>
      </c>
      <c r="L19" s="32" t="n">
        <f aca="false">IF(Cronograma!$D$20=0,0,Cronograma!$N$20*MAX(0,MIN(Cronograma!$G$20,10*52/12)-MAX(Cronograma!$F$20,(10-1)*52/12))/Cronograma!$D$20)</f>
        <v>0</v>
      </c>
      <c r="M19" s="32" t="n">
        <f aca="false">IF(Cronograma!$D$20=0,0,Cronograma!$N$20*MAX(0,MIN(Cronograma!$G$20,11*52/12)-MAX(Cronograma!$F$20,(11-1)*52/12))/Cronograma!$D$20)</f>
        <v>0</v>
      </c>
      <c r="N19" s="32" t="n">
        <f aca="false">IF(Cronograma!$D$20=0,0,Cronograma!$N$20*MAX(0,MIN(Cronograma!$G$20,12*52/12)-MAX(Cronograma!$F$20,(12-1)*52/12))/Cronograma!$D$20)</f>
        <v>0</v>
      </c>
      <c r="O19" s="32" t="n">
        <f aca="false">SUM(C19:N19)</f>
        <v>64979757.0850203</v>
      </c>
    </row>
    <row r="20" customFormat="false" ht="15" hidden="false" customHeight="true" outlineLevel="0" collapsed="false">
      <c r="A20" s="7" t="s">
        <v>1413</v>
      </c>
      <c r="B20" s="7" t="s">
        <v>1414</v>
      </c>
      <c r="C20" s="32" t="n">
        <f aca="false">IF(Cronograma!$D$21=0,0,Cronograma!$N$21*MAX(0,MIN(Cronograma!$G$21,1*52/12)-MAX(Cronograma!$F$21,(1-1)*52/12))/Cronograma!$D$21)</f>
        <v>0</v>
      </c>
      <c r="D20" s="32" t="n">
        <f aca="false">IF(Cronograma!$D$21=0,0,Cronograma!$N$21*MAX(0,MIN(Cronograma!$G$21,2*52/12)-MAX(Cronograma!$F$21,(2-1)*52/12))/Cronograma!$D$21)</f>
        <v>0</v>
      </c>
      <c r="E20" s="32" t="n">
        <f aca="false">IF(Cronograma!$D$21=0,0,Cronograma!$N$21*MAX(0,MIN(Cronograma!$G$21,3*52/12)-MAX(Cronograma!$F$21,(3-1)*52/12))/Cronograma!$D$21)</f>
        <v>0</v>
      </c>
      <c r="F20" s="32" t="n">
        <f aca="false">IF(Cronograma!$D$21=0,0,Cronograma!$N$21*MAX(0,MIN(Cronograma!$G$21,4*52/12)-MAX(Cronograma!$F$21,(4-1)*52/12))/Cronograma!$D$21)</f>
        <v>4331983.80566801</v>
      </c>
      <c r="G20" s="32" t="n">
        <f aca="false">IF(Cronograma!$D$21=0,0,Cronograma!$N$21*MAX(0,MIN(Cronograma!$G$21,5*52/12)-MAX(Cronograma!$F$21,(5-1)*52/12))/Cronograma!$D$21)</f>
        <v>8663967.61133604</v>
      </c>
      <c r="H20" s="32" t="n">
        <f aca="false">IF(Cronograma!$D$21=0,0,Cronograma!$N$21*MAX(0,MIN(Cronograma!$G$21,6*52/12)-MAX(Cronograma!$F$21,(6-1)*52/12))/Cronograma!$D$21)</f>
        <v>0</v>
      </c>
      <c r="I20" s="32" t="n">
        <f aca="false">IF(Cronograma!$D$21=0,0,Cronograma!$N$21*MAX(0,MIN(Cronograma!$G$21,7*52/12)-MAX(Cronograma!$F$21,(7-1)*52/12))/Cronograma!$D$21)</f>
        <v>0</v>
      </c>
      <c r="J20" s="32" t="n">
        <f aca="false">IF(Cronograma!$D$21=0,0,Cronograma!$N$21*MAX(0,MIN(Cronograma!$G$21,8*52/12)-MAX(Cronograma!$F$21,(8-1)*52/12))/Cronograma!$D$21)</f>
        <v>0</v>
      </c>
      <c r="K20" s="32" t="n">
        <f aca="false">IF(Cronograma!$D$21=0,0,Cronograma!$N$21*MAX(0,MIN(Cronograma!$G$21,9*52/12)-MAX(Cronograma!$F$21,(9-1)*52/12))/Cronograma!$D$21)</f>
        <v>0</v>
      </c>
      <c r="L20" s="32" t="n">
        <f aca="false">IF(Cronograma!$D$21=0,0,Cronograma!$N$21*MAX(0,MIN(Cronograma!$G$21,10*52/12)-MAX(Cronograma!$F$21,(10-1)*52/12))/Cronograma!$D$21)</f>
        <v>0</v>
      </c>
      <c r="M20" s="32" t="n">
        <f aca="false">IF(Cronograma!$D$21=0,0,Cronograma!$N$21*MAX(0,MIN(Cronograma!$G$21,11*52/12)-MAX(Cronograma!$F$21,(11-1)*52/12))/Cronograma!$D$21)</f>
        <v>0</v>
      </c>
      <c r="N20" s="32" t="n">
        <f aca="false">IF(Cronograma!$D$21=0,0,Cronograma!$N$21*MAX(0,MIN(Cronograma!$G$21,12*52/12)-MAX(Cronograma!$F$21,(12-1)*52/12))/Cronograma!$D$21)</f>
        <v>0</v>
      </c>
      <c r="O20" s="32" t="n">
        <f aca="false">SUM(C20:N20)</f>
        <v>12995951.417004</v>
      </c>
    </row>
    <row r="21" customFormat="false" ht="23.25" hidden="false" customHeight="true" outlineLevel="0" collapsed="false">
      <c r="A21" s="7" t="s">
        <v>1415</v>
      </c>
      <c r="B21" s="7" t="s">
        <v>1416</v>
      </c>
      <c r="C21" s="32" t="n">
        <f aca="false">IF(Cronograma!$D$22=0,0,Cronograma!$N$22*MAX(0,MIN(Cronograma!$G$22,1*52/12)-MAX(Cronograma!$F$22,(1-1)*52/12))/Cronograma!$D$22)</f>
        <v>0</v>
      </c>
      <c r="D21" s="32" t="n">
        <f aca="false">IF(Cronograma!$D$22=0,0,Cronograma!$N$22*MAX(0,MIN(Cronograma!$G$22,2*52/12)-MAX(Cronograma!$F$22,(2-1)*52/12))/Cronograma!$D$22)</f>
        <v>0</v>
      </c>
      <c r="E21" s="32" t="n">
        <f aca="false">IF(Cronograma!$D$22=0,0,Cronograma!$N$22*MAX(0,MIN(Cronograma!$G$22,3*52/12)-MAX(Cronograma!$F$22,(3-1)*52/12))/Cronograma!$D$22)</f>
        <v>8663967.61133603</v>
      </c>
      <c r="F21" s="32" t="n">
        <f aca="false">IF(Cronograma!$D$22=0,0,Cronograma!$N$22*MAX(0,MIN(Cronograma!$G$22,4*52/12)-MAX(Cronograma!$F$22,(4-1)*52/12))/Cronograma!$D$22)</f>
        <v>17327935.2226721</v>
      </c>
      <c r="G21" s="32" t="n">
        <f aca="false">IF(Cronograma!$D$22=0,0,Cronograma!$N$22*MAX(0,MIN(Cronograma!$G$22,5*52/12)-MAX(Cronograma!$F$22,(5-1)*52/12))/Cronograma!$D$22)</f>
        <v>0</v>
      </c>
      <c r="H21" s="32" t="n">
        <f aca="false">IF(Cronograma!$D$22=0,0,Cronograma!$N$22*MAX(0,MIN(Cronograma!$G$22,6*52/12)-MAX(Cronograma!$F$22,(6-1)*52/12))/Cronograma!$D$22)</f>
        <v>0</v>
      </c>
      <c r="I21" s="32" t="n">
        <f aca="false">IF(Cronograma!$D$22=0,0,Cronograma!$N$22*MAX(0,MIN(Cronograma!$G$22,7*52/12)-MAX(Cronograma!$F$22,(7-1)*52/12))/Cronograma!$D$22)</f>
        <v>0</v>
      </c>
      <c r="J21" s="32" t="n">
        <f aca="false">IF(Cronograma!$D$22=0,0,Cronograma!$N$22*MAX(0,MIN(Cronograma!$G$22,8*52/12)-MAX(Cronograma!$F$22,(8-1)*52/12))/Cronograma!$D$22)</f>
        <v>0</v>
      </c>
      <c r="K21" s="32" t="n">
        <f aca="false">IF(Cronograma!$D$22=0,0,Cronograma!$N$22*MAX(0,MIN(Cronograma!$G$22,9*52/12)-MAX(Cronograma!$F$22,(9-1)*52/12))/Cronograma!$D$22)</f>
        <v>0</v>
      </c>
      <c r="L21" s="32" t="n">
        <f aca="false">IF(Cronograma!$D$22=0,0,Cronograma!$N$22*MAX(0,MIN(Cronograma!$G$22,10*52/12)-MAX(Cronograma!$F$22,(10-1)*52/12))/Cronograma!$D$22)</f>
        <v>0</v>
      </c>
      <c r="M21" s="32" t="n">
        <f aca="false">IF(Cronograma!$D$22=0,0,Cronograma!$N$22*MAX(0,MIN(Cronograma!$G$22,11*52/12)-MAX(Cronograma!$F$22,(11-1)*52/12))/Cronograma!$D$22)</f>
        <v>0</v>
      </c>
      <c r="N21" s="32" t="n">
        <f aca="false">IF(Cronograma!$D$22=0,0,Cronograma!$N$22*MAX(0,MIN(Cronograma!$G$22,12*52/12)-MAX(Cronograma!$F$22,(12-1)*52/12))/Cronograma!$D$22)</f>
        <v>0</v>
      </c>
      <c r="O21" s="32" t="n">
        <f aca="false">SUM(C21:N21)</f>
        <v>25991902.8340081</v>
      </c>
    </row>
    <row r="22" customFormat="false" ht="23.25" hidden="false" customHeight="true" outlineLevel="0" collapsed="false">
      <c r="A22" s="7" t="s">
        <v>936</v>
      </c>
      <c r="B22" s="7" t="s">
        <v>1417</v>
      </c>
      <c r="C22" s="32" t="n">
        <f aca="false">IF(Cronograma!$D$23=0,0,Cronograma!$N$23*MAX(0,MIN(Cronograma!$G$23,1*52/12)-MAX(Cronograma!$F$23,(1-1)*52/12))/Cronograma!$D$23)</f>
        <v>0</v>
      </c>
      <c r="D22" s="32" t="n">
        <f aca="false">IF(Cronograma!$D$23=0,0,Cronograma!$N$23*MAX(0,MIN(Cronograma!$G$23,2*52/12)-MAX(Cronograma!$F$23,(2-1)*52/12))/Cronograma!$D$23)</f>
        <v>0</v>
      </c>
      <c r="E22" s="32" t="n">
        <f aca="false">IF(Cronograma!$D$23=0,0,Cronograma!$N$23*MAX(0,MIN(Cronograma!$G$23,3*52/12)-MAX(Cronograma!$F$23,(3-1)*52/12))/Cronograma!$D$23)</f>
        <v>0</v>
      </c>
      <c r="F22" s="32" t="n">
        <f aca="false">IF(Cronograma!$D$23=0,0,Cronograma!$N$23*MAX(0,MIN(Cronograma!$G$23,4*52/12)-MAX(Cronograma!$F$23,(4-1)*52/12))/Cronograma!$D$23)</f>
        <v>402440081.235423</v>
      </c>
      <c r="G22" s="32" t="n">
        <f aca="false">IF(Cronograma!$D$23=0,0,Cronograma!$N$23*MAX(0,MIN(Cronograma!$G$23,5*52/12)-MAX(Cronograma!$F$23,(5-1)*52/12))/Cronograma!$D$23)</f>
        <v>747388722.294358</v>
      </c>
      <c r="H22" s="32" t="n">
        <f aca="false">IF(Cronograma!$D$23=0,0,Cronograma!$N$23*MAX(0,MIN(Cronograma!$G$23,6*52/12)-MAX(Cronograma!$F$23,(6-1)*52/12))/Cronograma!$D$23)</f>
        <v>747388722.294357</v>
      </c>
      <c r="I22" s="32" t="n">
        <f aca="false">IF(Cronograma!$D$23=0,0,Cronograma!$N$23*MAX(0,MIN(Cronograma!$G$23,7*52/12)-MAX(Cronograma!$F$23,(7-1)*52/12))/Cronograma!$D$23)</f>
        <v>172474320.529467</v>
      </c>
      <c r="J22" s="32" t="n">
        <f aca="false">IF(Cronograma!$D$23=0,0,Cronograma!$N$23*MAX(0,MIN(Cronograma!$G$23,8*52/12)-MAX(Cronograma!$F$23,(8-1)*52/12))/Cronograma!$D$23)</f>
        <v>0</v>
      </c>
      <c r="K22" s="32" t="n">
        <f aca="false">IF(Cronograma!$D$23=0,0,Cronograma!$N$23*MAX(0,MIN(Cronograma!$G$23,9*52/12)-MAX(Cronograma!$F$23,(9-1)*52/12))/Cronograma!$D$23)</f>
        <v>0</v>
      </c>
      <c r="L22" s="32" t="n">
        <f aca="false">IF(Cronograma!$D$23=0,0,Cronograma!$N$23*MAX(0,MIN(Cronograma!$G$23,10*52/12)-MAX(Cronograma!$F$23,(10-1)*52/12))/Cronograma!$D$23)</f>
        <v>0</v>
      </c>
      <c r="M22" s="32" t="n">
        <f aca="false">IF(Cronograma!$D$23=0,0,Cronograma!$N$23*MAX(0,MIN(Cronograma!$G$23,11*52/12)-MAX(Cronograma!$F$23,(11-1)*52/12))/Cronograma!$D$23)</f>
        <v>0</v>
      </c>
      <c r="N22" s="32" t="n">
        <f aca="false">IF(Cronograma!$D$23=0,0,Cronograma!$N$23*MAX(0,MIN(Cronograma!$G$23,12*52/12)-MAX(Cronograma!$F$23,(12-1)*52/12))/Cronograma!$D$23)</f>
        <v>0</v>
      </c>
      <c r="O22" s="32" t="n">
        <f aca="false">SUM(C22:N22)</f>
        <v>2069691846.35361</v>
      </c>
    </row>
    <row r="23" customFormat="false" ht="23.25" hidden="false" customHeight="true" outlineLevel="0" collapsed="false">
      <c r="A23" s="7" t="s">
        <v>1020</v>
      </c>
      <c r="B23" s="7" t="s">
        <v>1523</v>
      </c>
      <c r="C23" s="32" t="n">
        <f aca="false">IF(Cronograma!$D$24=0,0,Cronograma!$N$24*MAX(0,MIN(Cronograma!$G$24,1*52/12)-MAX(Cronograma!$F$24,(1-1)*52/12))/Cronograma!$D$24)</f>
        <v>0</v>
      </c>
      <c r="D23" s="32" t="n">
        <f aca="false">IF(Cronograma!$D$24=0,0,Cronograma!$N$24*MAX(0,MIN(Cronograma!$G$24,2*52/12)-MAX(Cronograma!$F$24,(2-1)*52/12))/Cronograma!$D$24)</f>
        <v>0</v>
      </c>
      <c r="E23" s="32" t="n">
        <f aca="false">IF(Cronograma!$D$24=0,0,Cronograma!$N$24*MAX(0,MIN(Cronograma!$G$24,3*52/12)-MAX(Cronograma!$F$24,(3-1)*52/12))/Cronograma!$D$24)</f>
        <v>176673355.361539</v>
      </c>
      <c r="F23" s="32" t="n">
        <f aca="false">IF(Cronograma!$D$24=0,0,Cronograma!$N$24*MAX(0,MIN(Cronograma!$G$24,4*52/12)-MAX(Cronograma!$F$24,(4-1)*52/12))/Cronograma!$D$24)</f>
        <v>382792269.95</v>
      </c>
      <c r="G23" s="32" t="n">
        <f aca="false">IF(Cronograma!$D$24=0,0,Cronograma!$N$24*MAX(0,MIN(Cronograma!$G$24,5*52/12)-MAX(Cronograma!$F$24,(5-1)*52/12))/Cronograma!$D$24)</f>
        <v>382792269.95</v>
      </c>
      <c r="H23" s="32" t="n">
        <f aca="false">IF(Cronograma!$D$24=0,0,Cronograma!$N$24*MAX(0,MIN(Cronograma!$G$24,6*52/12)-MAX(Cronograma!$F$24,(6-1)*52/12))/Cronograma!$D$24)</f>
        <v>382792269.95</v>
      </c>
      <c r="I23" s="32" t="n">
        <f aca="false">IF(Cronograma!$D$24=0,0,Cronograma!$N$24*MAX(0,MIN(Cronograma!$G$24,7*52/12)-MAX(Cronograma!$F$24,(7-1)*52/12))/Cronograma!$D$24)</f>
        <v>382792269.95</v>
      </c>
      <c r="J23" s="32" t="n">
        <f aca="false">IF(Cronograma!$D$24=0,0,Cronograma!$N$24*MAX(0,MIN(Cronograma!$G$24,8*52/12)-MAX(Cronograma!$F$24,(8-1)*52/12))/Cronograma!$D$24)</f>
        <v>58891118.4538463</v>
      </c>
      <c r="K23" s="32" t="n">
        <f aca="false">IF(Cronograma!$D$24=0,0,Cronograma!$N$24*MAX(0,MIN(Cronograma!$G$24,9*52/12)-MAX(Cronograma!$F$24,(9-1)*52/12))/Cronograma!$D$24)</f>
        <v>0</v>
      </c>
      <c r="L23" s="32" t="n">
        <f aca="false">IF(Cronograma!$D$24=0,0,Cronograma!$N$24*MAX(0,MIN(Cronograma!$G$24,10*52/12)-MAX(Cronograma!$F$24,(10-1)*52/12))/Cronograma!$D$24)</f>
        <v>0</v>
      </c>
      <c r="M23" s="32" t="n">
        <f aca="false">IF(Cronograma!$D$24=0,0,Cronograma!$N$24*MAX(0,MIN(Cronograma!$G$24,11*52/12)-MAX(Cronograma!$F$24,(11-1)*52/12))/Cronograma!$D$24)</f>
        <v>0</v>
      </c>
      <c r="N23" s="32" t="n">
        <f aca="false">IF(Cronograma!$D$24=0,0,Cronograma!$N$24*MAX(0,MIN(Cronograma!$G$24,12*52/12)-MAX(Cronograma!$F$24,(12-1)*52/12))/Cronograma!$D$24)</f>
        <v>0</v>
      </c>
      <c r="O23" s="32" t="n">
        <f aca="false">SUM(C23:N23)</f>
        <v>1766733553.61539</v>
      </c>
    </row>
    <row r="24" customFormat="false" ht="15" hidden="false" customHeight="true" outlineLevel="0" collapsed="false">
      <c r="A24" s="7" t="s">
        <v>992</v>
      </c>
      <c r="B24" s="7" t="s">
        <v>1419</v>
      </c>
      <c r="C24" s="32" t="n">
        <f aca="false">IF(Cronograma!$D$25=0,0,Cronograma!$N$25*MAX(0,MIN(Cronograma!$G$25,1*52/12)-MAX(Cronograma!$F$25,(1-1)*52/12))/Cronograma!$D$25)</f>
        <v>0</v>
      </c>
      <c r="D24" s="32" t="n">
        <f aca="false">IF(Cronograma!$D$25=0,0,Cronograma!$N$25*MAX(0,MIN(Cronograma!$G$25,2*52/12)-MAX(Cronograma!$F$25,(2-1)*52/12))/Cronograma!$D$25)</f>
        <v>0</v>
      </c>
      <c r="E24" s="32" t="n">
        <f aca="false">IF(Cronograma!$D$25=0,0,Cronograma!$N$25*MAX(0,MIN(Cronograma!$G$25,3*52/12)-MAX(Cronograma!$F$25,(3-1)*52/12))/Cronograma!$D$25)</f>
        <v>0</v>
      </c>
      <c r="F24" s="32" t="n">
        <f aca="false">IF(Cronograma!$D$25=0,0,Cronograma!$N$25*MAX(0,MIN(Cronograma!$G$25,4*52/12)-MAX(Cronograma!$F$25,(4-1)*52/12))/Cronograma!$D$25)</f>
        <v>123060075.07668</v>
      </c>
      <c r="G24" s="32" t="n">
        <f aca="false">IF(Cronograma!$D$25=0,0,Cronograma!$N$25*MAX(0,MIN(Cronograma!$G$25,5*52/12)-MAX(Cronograma!$F$25,(5-1)*52/12))/Cronograma!$D$25)</f>
        <v>399945243.999211</v>
      </c>
      <c r="H24" s="32" t="n">
        <f aca="false">IF(Cronograma!$D$25=0,0,Cronograma!$N$25*MAX(0,MIN(Cronograma!$G$25,6*52/12)-MAX(Cronograma!$F$25,(6-1)*52/12))/Cronograma!$D$25)</f>
        <v>399945243.999211</v>
      </c>
      <c r="I24" s="32" t="n">
        <f aca="false">IF(Cronograma!$D$25=0,0,Cronograma!$N$25*MAX(0,MIN(Cronograma!$G$25,7*52/12)-MAX(Cronograma!$F$25,(7-1)*52/12))/Cronograma!$D$25)</f>
        <v>0</v>
      </c>
      <c r="J24" s="32" t="n">
        <f aca="false">IF(Cronograma!$D$25=0,0,Cronograma!$N$25*MAX(0,MIN(Cronograma!$G$25,8*52/12)-MAX(Cronograma!$F$25,(8-1)*52/12))/Cronograma!$D$25)</f>
        <v>0</v>
      </c>
      <c r="K24" s="32" t="n">
        <f aca="false">IF(Cronograma!$D$25=0,0,Cronograma!$N$25*MAX(0,MIN(Cronograma!$G$25,9*52/12)-MAX(Cronograma!$F$25,(9-1)*52/12))/Cronograma!$D$25)</f>
        <v>0</v>
      </c>
      <c r="L24" s="32" t="n">
        <f aca="false">IF(Cronograma!$D$25=0,0,Cronograma!$N$25*MAX(0,MIN(Cronograma!$G$25,10*52/12)-MAX(Cronograma!$F$25,(10-1)*52/12))/Cronograma!$D$25)</f>
        <v>0</v>
      </c>
      <c r="M24" s="32" t="n">
        <f aca="false">IF(Cronograma!$D$25=0,0,Cronograma!$N$25*MAX(0,MIN(Cronograma!$G$25,11*52/12)-MAX(Cronograma!$F$25,(11-1)*52/12))/Cronograma!$D$25)</f>
        <v>0</v>
      </c>
      <c r="N24" s="32" t="n">
        <f aca="false">IF(Cronograma!$D$25=0,0,Cronograma!$N$25*MAX(0,MIN(Cronograma!$G$25,12*52/12)-MAX(Cronograma!$F$25,(12-1)*52/12))/Cronograma!$D$25)</f>
        <v>0</v>
      </c>
      <c r="O24" s="32" t="n">
        <f aca="false">SUM(C24:N24)</f>
        <v>922950563.075101</v>
      </c>
    </row>
    <row r="25" customFormat="false" ht="15" hidden="false" customHeight="true" outlineLevel="0" collapsed="false">
      <c r="A25" s="7" t="s">
        <v>1077</v>
      </c>
      <c r="B25" s="7" t="s">
        <v>1421</v>
      </c>
      <c r="C25" s="32" t="n">
        <f aca="false">IF(Cronograma!$D$26=0,0,Cronograma!$N$26*MAX(0,MIN(Cronograma!$G$26,1*52/12)-MAX(Cronograma!$F$26,(1-1)*52/12))/Cronograma!$D$26)</f>
        <v>0</v>
      </c>
      <c r="D25" s="32" t="n">
        <f aca="false">IF(Cronograma!$D$26=0,0,Cronograma!$N$26*MAX(0,MIN(Cronograma!$G$26,2*52/12)-MAX(Cronograma!$F$26,(2-1)*52/12))/Cronograma!$D$26)</f>
        <v>0</v>
      </c>
      <c r="E25" s="32" t="n">
        <f aca="false">IF(Cronograma!$D$26=0,0,Cronograma!$N$26*MAX(0,MIN(Cronograma!$G$26,3*52/12)-MAX(Cronograma!$F$26,(3-1)*52/12))/Cronograma!$D$26)</f>
        <v>0</v>
      </c>
      <c r="F25" s="32" t="n">
        <f aca="false">IF(Cronograma!$D$26=0,0,Cronograma!$N$26*MAX(0,MIN(Cronograma!$G$26,4*52/12)-MAX(Cronograma!$F$26,(4-1)*52/12))/Cronograma!$D$26)</f>
        <v>0</v>
      </c>
      <c r="G25" s="32" t="n">
        <f aca="false">IF(Cronograma!$D$26=0,0,Cronograma!$N$26*MAX(0,MIN(Cronograma!$G$26,5*52/12)-MAX(Cronograma!$F$26,(5-1)*52/12))/Cronograma!$D$26)</f>
        <v>0</v>
      </c>
      <c r="H25" s="32" t="n">
        <f aca="false">IF(Cronograma!$D$26=0,0,Cronograma!$N$26*MAX(0,MIN(Cronograma!$G$26,6*52/12)-MAX(Cronograma!$F$26,(6-1)*52/12))/Cronograma!$D$26)</f>
        <v>0</v>
      </c>
      <c r="I25" s="32" t="n">
        <f aca="false">IF(Cronograma!$D$26=0,0,Cronograma!$N$26*MAX(0,MIN(Cronograma!$G$26,7*52/12)-MAX(Cronograma!$F$26,(7-1)*52/12))/Cronograma!$D$26)</f>
        <v>207664473.684211</v>
      </c>
      <c r="J25" s="32" t="n">
        <f aca="false">IF(Cronograma!$D$26=0,0,Cronograma!$N$26*MAX(0,MIN(Cronograma!$G$26,8*52/12)-MAX(Cronograma!$F$26,(8-1)*52/12))/Cronograma!$D$26)</f>
        <v>79870951.4170041</v>
      </c>
      <c r="K25" s="32" t="n">
        <f aca="false">IF(Cronograma!$D$26=0,0,Cronograma!$N$26*MAX(0,MIN(Cronograma!$G$26,9*52/12)-MAX(Cronograma!$F$26,(9-1)*52/12))/Cronograma!$D$26)</f>
        <v>0</v>
      </c>
      <c r="L25" s="32" t="n">
        <f aca="false">IF(Cronograma!$D$26=0,0,Cronograma!$N$26*MAX(0,MIN(Cronograma!$G$26,10*52/12)-MAX(Cronograma!$F$26,(10-1)*52/12))/Cronograma!$D$26)</f>
        <v>0</v>
      </c>
      <c r="M25" s="32" t="n">
        <f aca="false">IF(Cronograma!$D$26=0,0,Cronograma!$N$26*MAX(0,MIN(Cronograma!$G$26,11*52/12)-MAX(Cronograma!$F$26,(11-1)*52/12))/Cronograma!$D$26)</f>
        <v>0</v>
      </c>
      <c r="N25" s="32" t="n">
        <f aca="false">IF(Cronograma!$D$26=0,0,Cronograma!$N$26*MAX(0,MIN(Cronograma!$G$26,12*52/12)-MAX(Cronograma!$F$26,(12-1)*52/12))/Cronograma!$D$26)</f>
        <v>0</v>
      </c>
      <c r="O25" s="32" t="n">
        <f aca="false">SUM(C25:N25)</f>
        <v>287535425.101215</v>
      </c>
    </row>
    <row r="26" customFormat="false" ht="15" hidden="false" customHeight="true" outlineLevel="0" collapsed="false">
      <c r="A26" s="7" t="s">
        <v>1038</v>
      </c>
      <c r="B26" s="7" t="s">
        <v>1422</v>
      </c>
      <c r="C26" s="32" t="n">
        <f aca="false">IF(Cronograma!$D$27=0,0,Cronograma!$N$27*MAX(0,MIN(Cronograma!$G$27,1*52/12)-MAX(Cronograma!$F$27,(1-1)*52/12))/Cronograma!$D$27)</f>
        <v>0</v>
      </c>
      <c r="D26" s="32" t="n">
        <f aca="false">IF(Cronograma!$D$27=0,0,Cronograma!$N$27*MAX(0,MIN(Cronograma!$G$27,2*52/12)-MAX(Cronograma!$F$27,(2-1)*52/12))/Cronograma!$D$27)</f>
        <v>0</v>
      </c>
      <c r="E26" s="32" t="n">
        <f aca="false">IF(Cronograma!$D$27=0,0,Cronograma!$N$27*MAX(0,MIN(Cronograma!$G$27,3*52/12)-MAX(Cronograma!$F$27,(3-1)*52/12))/Cronograma!$D$27)</f>
        <v>0</v>
      </c>
      <c r="F26" s="32" t="n">
        <f aca="false">IF(Cronograma!$D$27=0,0,Cronograma!$N$27*MAX(0,MIN(Cronograma!$G$27,4*52/12)-MAX(Cronograma!$F$27,(4-1)*52/12))/Cronograma!$D$27)</f>
        <v>661051874.226898</v>
      </c>
      <c r="G26" s="32" t="n">
        <f aca="false">IF(Cronograma!$D$27=0,0,Cronograma!$N$27*MAX(0,MIN(Cronograma!$G$27,5*52/12)-MAX(Cronograma!$F$27,(5-1)*52/12))/Cronograma!$D$27)</f>
        <v>0</v>
      </c>
      <c r="H26" s="32" t="n">
        <f aca="false">IF(Cronograma!$D$27=0,0,Cronograma!$N$27*MAX(0,MIN(Cronograma!$G$27,6*52/12)-MAX(Cronograma!$F$27,(6-1)*52/12))/Cronograma!$D$27)</f>
        <v>0</v>
      </c>
      <c r="I26" s="32" t="n">
        <f aca="false">IF(Cronograma!$D$27=0,0,Cronograma!$N$27*MAX(0,MIN(Cronograma!$G$27,7*52/12)-MAX(Cronograma!$F$27,(7-1)*52/12))/Cronograma!$D$27)</f>
        <v>0</v>
      </c>
      <c r="J26" s="32" t="n">
        <f aca="false">IF(Cronograma!$D$27=0,0,Cronograma!$N$27*MAX(0,MIN(Cronograma!$G$27,8*52/12)-MAX(Cronograma!$F$27,(8-1)*52/12))/Cronograma!$D$27)</f>
        <v>0</v>
      </c>
      <c r="K26" s="32" t="n">
        <f aca="false">IF(Cronograma!$D$27=0,0,Cronograma!$N$27*MAX(0,MIN(Cronograma!$G$27,9*52/12)-MAX(Cronograma!$F$27,(9-1)*52/12))/Cronograma!$D$27)</f>
        <v>0</v>
      </c>
      <c r="L26" s="32" t="n">
        <f aca="false">IF(Cronograma!$D$27=0,0,Cronograma!$N$27*MAX(0,MIN(Cronograma!$G$27,10*52/12)-MAX(Cronograma!$F$27,(10-1)*52/12))/Cronograma!$D$27)</f>
        <v>0</v>
      </c>
      <c r="M26" s="32" t="n">
        <f aca="false">IF(Cronograma!$D$27=0,0,Cronograma!$N$27*MAX(0,MIN(Cronograma!$G$27,11*52/12)-MAX(Cronograma!$F$27,(11-1)*52/12))/Cronograma!$D$27)</f>
        <v>0</v>
      </c>
      <c r="N26" s="32" t="n">
        <f aca="false">IF(Cronograma!$D$27=0,0,Cronograma!$N$27*MAX(0,MIN(Cronograma!$G$27,12*52/12)-MAX(Cronograma!$F$27,(12-1)*52/12))/Cronograma!$D$27)</f>
        <v>0</v>
      </c>
      <c r="O26" s="32" t="n">
        <f aca="false">SUM(C26:N26)</f>
        <v>661051874.226898</v>
      </c>
    </row>
    <row r="27" customFormat="false" ht="15" hidden="false" customHeight="true" outlineLevel="0" collapsed="false">
      <c r="A27" s="7" t="s">
        <v>1423</v>
      </c>
      <c r="B27" s="7" t="s">
        <v>1424</v>
      </c>
      <c r="C27" s="32" t="n">
        <f aca="false">IF(Cronograma!$D$28=0,0,Cronograma!$N$28*MAX(0,MIN(Cronograma!$G$28,1*52/12)-MAX(Cronograma!$F$28,(1-1)*52/12))/Cronograma!$D$28)</f>
        <v>0</v>
      </c>
      <c r="D27" s="32" t="n">
        <f aca="false">IF(Cronograma!$D$28=0,0,Cronograma!$N$28*MAX(0,MIN(Cronograma!$G$28,2*52/12)-MAX(Cronograma!$F$28,(2-1)*52/12))/Cronograma!$D$28)</f>
        <v>0</v>
      </c>
      <c r="E27" s="32" t="n">
        <f aca="false">IF(Cronograma!$D$28=0,0,Cronograma!$N$28*MAX(0,MIN(Cronograma!$G$28,3*52/12)-MAX(Cronograma!$F$28,(3-1)*52/12))/Cronograma!$D$28)</f>
        <v>0</v>
      </c>
      <c r="F27" s="32" t="n">
        <f aca="false">IF(Cronograma!$D$28=0,0,Cronograma!$N$28*MAX(0,MIN(Cronograma!$G$28,4*52/12)-MAX(Cronograma!$F$28,(4-1)*52/12))/Cronograma!$D$28)</f>
        <v>25269905.5330634</v>
      </c>
      <c r="G27" s="32" t="n">
        <f aca="false">IF(Cronograma!$D$28=0,0,Cronograma!$N$28*MAX(0,MIN(Cronograma!$G$28,5*52/12)-MAX(Cronograma!$F$28,(5-1)*52/12))/Cronograma!$D$28)</f>
        <v>46929824.5614035</v>
      </c>
      <c r="H27" s="32" t="n">
        <f aca="false">IF(Cronograma!$D$28=0,0,Cronograma!$N$28*MAX(0,MIN(Cronograma!$G$28,6*52/12)-MAX(Cronograma!$F$28,(6-1)*52/12))/Cronograma!$D$28)</f>
        <v>46929824.5614035</v>
      </c>
      <c r="I27" s="32" t="n">
        <f aca="false">IF(Cronograma!$D$28=0,0,Cronograma!$N$28*MAX(0,MIN(Cronograma!$G$28,7*52/12)-MAX(Cronograma!$F$28,(7-1)*52/12))/Cronograma!$D$28)</f>
        <v>10829959.51417</v>
      </c>
      <c r="J27" s="32" t="n">
        <f aca="false">IF(Cronograma!$D$28=0,0,Cronograma!$N$28*MAX(0,MIN(Cronograma!$G$28,8*52/12)-MAX(Cronograma!$F$28,(8-1)*52/12))/Cronograma!$D$28)</f>
        <v>0</v>
      </c>
      <c r="K27" s="32" t="n">
        <f aca="false">IF(Cronograma!$D$28=0,0,Cronograma!$N$28*MAX(0,MIN(Cronograma!$G$28,9*52/12)-MAX(Cronograma!$F$28,(9-1)*52/12))/Cronograma!$D$28)</f>
        <v>0</v>
      </c>
      <c r="L27" s="32" t="n">
        <f aca="false">IF(Cronograma!$D$28=0,0,Cronograma!$N$28*MAX(0,MIN(Cronograma!$G$28,10*52/12)-MAX(Cronograma!$F$28,(10-1)*52/12))/Cronograma!$D$28)</f>
        <v>0</v>
      </c>
      <c r="M27" s="32" t="n">
        <f aca="false">IF(Cronograma!$D$28=0,0,Cronograma!$N$28*MAX(0,MIN(Cronograma!$G$28,11*52/12)-MAX(Cronograma!$F$28,(11-1)*52/12))/Cronograma!$D$28)</f>
        <v>0</v>
      </c>
      <c r="N27" s="32" t="n">
        <f aca="false">IF(Cronograma!$D$28=0,0,Cronograma!$N$28*MAX(0,MIN(Cronograma!$G$28,12*52/12)-MAX(Cronograma!$F$28,(12-1)*52/12))/Cronograma!$D$28)</f>
        <v>0</v>
      </c>
      <c r="O27" s="32" t="n">
        <f aca="false">SUM(C27:N27)</f>
        <v>129959514.170041</v>
      </c>
    </row>
    <row r="28" customFormat="false" ht="15" hidden="false" customHeight="true" outlineLevel="0" collapsed="false">
      <c r="A28" s="7" t="s">
        <v>1425</v>
      </c>
      <c r="B28" s="7" t="s">
        <v>1426</v>
      </c>
      <c r="C28" s="32" t="n">
        <f aca="false">IF(Cronograma!$D$29=0,0,Cronograma!$N$29*MAX(0,MIN(Cronograma!$G$29,1*52/12)-MAX(Cronograma!$F$29,(1-1)*52/12))/Cronograma!$D$29)</f>
        <v>0</v>
      </c>
      <c r="D28" s="32" t="n">
        <f aca="false">IF(Cronograma!$D$29=0,0,Cronograma!$N$29*MAX(0,MIN(Cronograma!$G$29,2*52/12)-MAX(Cronograma!$F$29,(2-1)*52/12))/Cronograma!$D$29)</f>
        <v>0</v>
      </c>
      <c r="E28" s="32" t="n">
        <f aca="false">IF(Cronograma!$D$29=0,0,Cronograma!$N$29*MAX(0,MIN(Cronograma!$G$29,3*52/12)-MAX(Cronograma!$F$29,(3-1)*52/12))/Cronograma!$D$29)</f>
        <v>0</v>
      </c>
      <c r="F28" s="32" t="n">
        <f aca="false">IF(Cronograma!$D$29=0,0,Cronograma!$N$29*MAX(0,MIN(Cronograma!$G$29,4*52/12)-MAX(Cronograma!$F$29,(4-1)*52/12))/Cronograma!$D$29)</f>
        <v>0</v>
      </c>
      <c r="G28" s="32" t="n">
        <f aca="false">IF(Cronograma!$D$29=0,0,Cronograma!$N$29*MAX(0,MIN(Cronograma!$G$29,5*52/12)-MAX(Cronograma!$F$29,(5-1)*52/12))/Cronograma!$D$29)</f>
        <v>0</v>
      </c>
      <c r="H28" s="32" t="n">
        <f aca="false">IF(Cronograma!$D$29=0,0,Cronograma!$N$29*MAX(0,MIN(Cronograma!$G$29,6*52/12)-MAX(Cronograma!$F$29,(6-1)*52/12))/Cronograma!$D$29)</f>
        <v>0</v>
      </c>
      <c r="I28" s="32" t="n">
        <f aca="false">IF(Cronograma!$D$29=0,0,Cronograma!$N$29*MAX(0,MIN(Cronograma!$G$29,7*52/12)-MAX(Cronograma!$F$29,(7-1)*52/12))/Cronograma!$D$29)</f>
        <v>57759784.0755735</v>
      </c>
      <c r="J28" s="32" t="n">
        <f aca="false">IF(Cronograma!$D$29=0,0,Cronograma!$N$29*MAX(0,MIN(Cronograma!$G$29,8*52/12)-MAX(Cronograma!$F$29,(8-1)*52/12))/Cronograma!$D$29)</f>
        <v>46207827.2604589</v>
      </c>
      <c r="K28" s="32" t="n">
        <f aca="false">IF(Cronograma!$D$29=0,0,Cronograma!$N$29*MAX(0,MIN(Cronograma!$G$29,9*52/12)-MAX(Cronograma!$F$29,(9-1)*52/12))/Cronograma!$D$29)</f>
        <v>0</v>
      </c>
      <c r="L28" s="32" t="n">
        <f aca="false">IF(Cronograma!$D$29=0,0,Cronograma!$N$29*MAX(0,MIN(Cronograma!$G$29,10*52/12)-MAX(Cronograma!$F$29,(10-1)*52/12))/Cronograma!$D$29)</f>
        <v>0</v>
      </c>
      <c r="M28" s="32" t="n">
        <f aca="false">IF(Cronograma!$D$29=0,0,Cronograma!$N$29*MAX(0,MIN(Cronograma!$G$29,11*52/12)-MAX(Cronograma!$F$29,(11-1)*52/12))/Cronograma!$D$29)</f>
        <v>0</v>
      </c>
      <c r="N28" s="32" t="n">
        <f aca="false">IF(Cronograma!$D$29=0,0,Cronograma!$N$29*MAX(0,MIN(Cronograma!$G$29,12*52/12)-MAX(Cronograma!$F$29,(12-1)*52/12))/Cronograma!$D$29)</f>
        <v>0</v>
      </c>
      <c r="O28" s="32" t="n">
        <f aca="false">SUM(C28:N28)</f>
        <v>103967611.336032</v>
      </c>
    </row>
    <row r="29" customFormat="false" ht="15" hidden="false" customHeight="true" outlineLevel="0" collapsed="false">
      <c r="A29" s="7" t="s">
        <v>1428</v>
      </c>
      <c r="B29" s="7" t="s">
        <v>1429</v>
      </c>
      <c r="C29" s="32" t="n">
        <f aca="false">IF(Cronograma!$D$30=0,0,Cronograma!$N$30*MAX(0,MIN(Cronograma!$G$30,1*52/12)-MAX(Cronograma!$F$30,(1-1)*52/12))/Cronograma!$D$30)</f>
        <v>0</v>
      </c>
      <c r="D29" s="32" t="n">
        <f aca="false">IF(Cronograma!$D$30=0,0,Cronograma!$N$30*MAX(0,MIN(Cronograma!$G$30,2*52/12)-MAX(Cronograma!$F$30,(2-1)*52/12))/Cronograma!$D$30)</f>
        <v>0</v>
      </c>
      <c r="E29" s="32" t="n">
        <f aca="false">IF(Cronograma!$D$30=0,0,Cronograma!$N$30*MAX(0,MIN(Cronograma!$G$30,3*52/12)-MAX(Cronograma!$F$30,(3-1)*52/12))/Cronograma!$D$30)</f>
        <v>0</v>
      </c>
      <c r="F29" s="32" t="n">
        <f aca="false">IF(Cronograma!$D$30=0,0,Cronograma!$N$30*MAX(0,MIN(Cronograma!$G$30,4*52/12)-MAX(Cronograma!$F$30,(4-1)*52/12))/Cronograma!$D$30)</f>
        <v>0</v>
      </c>
      <c r="G29" s="32" t="n">
        <f aca="false">IF(Cronograma!$D$30=0,0,Cronograma!$N$30*MAX(0,MIN(Cronograma!$G$30,5*52/12)-MAX(Cronograma!$F$30,(5-1)*52/12))/Cronograma!$D$30)</f>
        <v>0</v>
      </c>
      <c r="H29" s="32" t="n">
        <f aca="false">IF(Cronograma!$D$30=0,0,Cronograma!$N$30*MAX(0,MIN(Cronograma!$G$30,6*52/12)-MAX(Cronograma!$F$30,(6-1)*52/12))/Cronograma!$D$30)</f>
        <v>0</v>
      </c>
      <c r="I29" s="32" t="n">
        <f aca="false">IF(Cronograma!$D$30=0,0,Cronograma!$N$30*MAX(0,MIN(Cronograma!$G$30,7*52/12)-MAX(Cronograma!$F$30,(7-1)*52/12))/Cronograma!$D$30)</f>
        <v>0</v>
      </c>
      <c r="J29" s="32" t="n">
        <f aca="false">IF(Cronograma!$D$30=0,0,Cronograma!$N$30*MAX(0,MIN(Cronograma!$G$30,8*52/12)-MAX(Cronograma!$F$30,(8-1)*52/12))/Cronograma!$D$30)</f>
        <v>25991902.8340081</v>
      </c>
      <c r="K29" s="32" t="n">
        <f aca="false">IF(Cronograma!$D$30=0,0,Cronograma!$N$30*MAX(0,MIN(Cronograma!$G$30,9*52/12)-MAX(Cronograma!$F$30,(9-1)*52/12))/Cronograma!$D$30)</f>
        <v>0</v>
      </c>
      <c r="L29" s="32" t="n">
        <f aca="false">IF(Cronograma!$D$30=0,0,Cronograma!$N$30*MAX(0,MIN(Cronograma!$G$30,10*52/12)-MAX(Cronograma!$F$30,(10-1)*52/12))/Cronograma!$D$30)</f>
        <v>0</v>
      </c>
      <c r="M29" s="32" t="n">
        <f aca="false">IF(Cronograma!$D$30=0,0,Cronograma!$N$30*MAX(0,MIN(Cronograma!$G$30,11*52/12)-MAX(Cronograma!$F$30,(11-1)*52/12))/Cronograma!$D$30)</f>
        <v>0</v>
      </c>
      <c r="N29" s="32" t="n">
        <f aca="false">IF(Cronograma!$D$30=0,0,Cronograma!$N$30*MAX(0,MIN(Cronograma!$G$30,12*52/12)-MAX(Cronograma!$F$30,(12-1)*52/12))/Cronograma!$D$30)</f>
        <v>0</v>
      </c>
      <c r="O29" s="32" t="n">
        <f aca="false">SUM(C29:N29)</f>
        <v>25991902.8340081</v>
      </c>
    </row>
    <row r="30" customFormat="false" ht="15" hidden="false" customHeight="true" outlineLevel="0" collapsed="false">
      <c r="A30" s="7" t="s">
        <v>1431</v>
      </c>
      <c r="B30" s="7" t="s">
        <v>1432</v>
      </c>
      <c r="C30" s="32" t="n">
        <f aca="false">IF(Cronograma!$D$31=0,0,Cronograma!$N$31*MAX(0,MIN(Cronograma!$G$31,1*52/12)-MAX(Cronograma!$F$31,(1-1)*52/12))/Cronograma!$D$31)</f>
        <v>0</v>
      </c>
      <c r="D30" s="32" t="n">
        <f aca="false">IF(Cronograma!$D$31=0,0,Cronograma!$N$31*MAX(0,MIN(Cronograma!$G$31,2*52/12)-MAX(Cronograma!$F$31,(2-1)*52/12))/Cronograma!$D$31)</f>
        <v>0</v>
      </c>
      <c r="E30" s="32" t="n">
        <f aca="false">IF(Cronograma!$D$31=0,0,Cronograma!$N$31*MAX(0,MIN(Cronograma!$G$31,3*52/12)-MAX(Cronograma!$F$31,(3-1)*52/12))/Cronograma!$D$31)</f>
        <v>0</v>
      </c>
      <c r="F30" s="32" t="n">
        <f aca="false">IF(Cronograma!$D$31=0,0,Cronograma!$N$31*MAX(0,MIN(Cronograma!$G$31,4*52/12)-MAX(Cronograma!$F$31,(4-1)*52/12))/Cronograma!$D$31)</f>
        <v>0</v>
      </c>
      <c r="G30" s="32" t="n">
        <f aca="false">IF(Cronograma!$D$31=0,0,Cronograma!$N$31*MAX(0,MIN(Cronograma!$G$31,5*52/12)-MAX(Cronograma!$F$31,(5-1)*52/12))/Cronograma!$D$31)</f>
        <v>0</v>
      </c>
      <c r="H30" s="32" t="n">
        <f aca="false">IF(Cronograma!$D$31=0,0,Cronograma!$N$31*MAX(0,MIN(Cronograma!$G$31,6*52/12)-MAX(Cronograma!$F$31,(6-1)*52/12))/Cronograma!$D$31)</f>
        <v>0</v>
      </c>
      <c r="I30" s="32" t="n">
        <f aca="false">IF(Cronograma!$D$31=0,0,Cronograma!$N$31*MAX(0,MIN(Cronograma!$G$31,7*52/12)-MAX(Cronograma!$F$31,(7-1)*52/12))/Cronograma!$D$31)</f>
        <v>0</v>
      </c>
      <c r="J30" s="32" t="n">
        <f aca="false">IF(Cronograma!$D$31=0,0,Cronograma!$N$31*MAX(0,MIN(Cronograma!$G$31,8*52/12)-MAX(Cronograma!$F$31,(8-1)*52/12))/Cronograma!$D$31)</f>
        <v>0</v>
      </c>
      <c r="K30" s="32" t="n">
        <f aca="false">IF(Cronograma!$D$31=0,0,Cronograma!$N$31*MAX(0,MIN(Cronograma!$G$31,9*52/12)-MAX(Cronograma!$F$31,(9-1)*52/12))/Cronograma!$D$31)</f>
        <v>0</v>
      </c>
      <c r="L30" s="32" t="n">
        <f aca="false">IF(Cronograma!$D$31=0,0,Cronograma!$N$31*MAX(0,MIN(Cronograma!$G$31,10*52/12)-MAX(Cronograma!$F$31,(10-1)*52/12))/Cronograma!$D$31)</f>
        <v>0</v>
      </c>
      <c r="M30" s="32" t="n">
        <f aca="false">IF(Cronograma!$D$31=0,0,Cronograma!$N$31*MAX(0,MIN(Cronograma!$G$31,11*52/12)-MAX(Cronograma!$F$31,(11-1)*52/12))/Cronograma!$D$31)</f>
        <v>0</v>
      </c>
      <c r="N30" s="32" t="n">
        <f aca="false">IF(Cronograma!$D$31=0,0,Cronograma!$N$31*MAX(0,MIN(Cronograma!$G$31,12*52/12)-MAX(Cronograma!$F$31,(12-1)*52/12))/Cronograma!$D$31)</f>
        <v>0</v>
      </c>
      <c r="O30" s="32" t="n">
        <f aca="false">SUM(C30:N30)</f>
        <v>0</v>
      </c>
    </row>
    <row r="31" customFormat="false" ht="15" hidden="false" customHeight="true" outlineLevel="0" collapsed="false">
      <c r="A31" s="7" t="s">
        <v>1082</v>
      </c>
      <c r="B31" s="7" t="s">
        <v>1434</v>
      </c>
      <c r="C31" s="32" t="n">
        <f aca="false">IF(Cronograma!$D$32=0,0,Cronograma!$N$32*MAX(0,MIN(Cronograma!$G$32,1*52/12)-MAX(Cronograma!$F$32,(1-1)*52/12))/Cronograma!$D$32)</f>
        <v>0</v>
      </c>
      <c r="D31" s="32" t="n">
        <f aca="false">IF(Cronograma!$D$32=0,0,Cronograma!$N$32*MAX(0,MIN(Cronograma!$G$32,2*52/12)-MAX(Cronograma!$F$32,(2-1)*52/12))/Cronograma!$D$32)</f>
        <v>0</v>
      </c>
      <c r="E31" s="32" t="n">
        <f aca="false">IF(Cronograma!$D$32=0,0,Cronograma!$N$32*MAX(0,MIN(Cronograma!$G$32,3*52/12)-MAX(Cronograma!$F$32,(3-1)*52/12))/Cronograma!$D$32)</f>
        <v>0</v>
      </c>
      <c r="F31" s="32" t="n">
        <f aca="false">IF(Cronograma!$D$32=0,0,Cronograma!$N$32*MAX(0,MIN(Cronograma!$G$32,4*52/12)-MAX(Cronograma!$F$32,(4-1)*52/12))/Cronograma!$D$32)</f>
        <v>0</v>
      </c>
      <c r="G31" s="32" t="n">
        <f aca="false">IF(Cronograma!$D$32=0,0,Cronograma!$N$32*MAX(0,MIN(Cronograma!$G$32,5*52/12)-MAX(Cronograma!$F$32,(5-1)*52/12))/Cronograma!$D$32)</f>
        <v>0</v>
      </c>
      <c r="H31" s="32" t="n">
        <f aca="false">IF(Cronograma!$D$32=0,0,Cronograma!$N$32*MAX(0,MIN(Cronograma!$G$32,6*52/12)-MAX(Cronograma!$F$32,(6-1)*52/12))/Cronograma!$D$32)</f>
        <v>28157894.7368421</v>
      </c>
      <c r="I31" s="32" t="n">
        <f aca="false">IF(Cronograma!$D$32=0,0,Cronograma!$N$32*MAX(0,MIN(Cronograma!$G$32,7*52/12)-MAX(Cronograma!$F$32,(7-1)*52/12))/Cronograma!$D$32)</f>
        <v>122017543.859649</v>
      </c>
      <c r="J31" s="32" t="n">
        <f aca="false">IF(Cronograma!$D$32=0,0,Cronograma!$N$32*MAX(0,MIN(Cronograma!$G$32,8*52/12)-MAX(Cronograma!$F$32,(8-1)*52/12))/Cronograma!$D$32)</f>
        <v>18771929.8245614</v>
      </c>
      <c r="K31" s="32" t="n">
        <f aca="false">IF(Cronograma!$D$32=0,0,Cronograma!$N$32*MAX(0,MIN(Cronograma!$G$32,9*52/12)-MAX(Cronograma!$F$32,(9-1)*52/12))/Cronograma!$D$32)</f>
        <v>0</v>
      </c>
      <c r="L31" s="32" t="n">
        <f aca="false">IF(Cronograma!$D$32=0,0,Cronograma!$N$32*MAX(0,MIN(Cronograma!$G$32,10*52/12)-MAX(Cronograma!$F$32,(10-1)*52/12))/Cronograma!$D$32)</f>
        <v>0</v>
      </c>
      <c r="M31" s="32" t="n">
        <f aca="false">IF(Cronograma!$D$32=0,0,Cronograma!$N$32*MAX(0,MIN(Cronograma!$G$32,11*52/12)-MAX(Cronograma!$F$32,(11-1)*52/12))/Cronograma!$D$32)</f>
        <v>0</v>
      </c>
      <c r="N31" s="32" t="n">
        <f aca="false">IF(Cronograma!$D$32=0,0,Cronograma!$N$32*MAX(0,MIN(Cronograma!$G$32,12*52/12)-MAX(Cronograma!$F$32,(12-1)*52/12))/Cronograma!$D$32)</f>
        <v>0</v>
      </c>
      <c r="O31" s="32" t="n">
        <f aca="false">SUM(C31:N31)</f>
        <v>168947368.421053</v>
      </c>
    </row>
    <row r="32" customFormat="false" ht="15" hidden="false" customHeight="true" outlineLevel="0" collapsed="false">
      <c r="A32" s="7" t="s">
        <v>1086</v>
      </c>
      <c r="B32" s="7" t="s">
        <v>1435</v>
      </c>
      <c r="C32" s="32" t="n">
        <f aca="false">IF(Cronograma!$D$33=0,0,Cronograma!$N$33*MAX(0,MIN(Cronograma!$G$33,1*52/12)-MAX(Cronograma!$F$33,(1-1)*52/12))/Cronograma!$D$33)</f>
        <v>0</v>
      </c>
      <c r="D32" s="32" t="n">
        <f aca="false">IF(Cronograma!$D$33=0,0,Cronograma!$N$33*MAX(0,MIN(Cronograma!$G$33,2*52/12)-MAX(Cronograma!$F$33,(2-1)*52/12))/Cronograma!$D$33)</f>
        <v>0</v>
      </c>
      <c r="E32" s="32" t="n">
        <f aca="false">IF(Cronograma!$D$33=0,0,Cronograma!$N$33*MAX(0,MIN(Cronograma!$G$33,3*52/12)-MAX(Cronograma!$F$33,(3-1)*52/12))/Cronograma!$D$33)</f>
        <v>0</v>
      </c>
      <c r="F32" s="32" t="n">
        <f aca="false">IF(Cronograma!$D$33=0,0,Cronograma!$N$33*MAX(0,MIN(Cronograma!$G$33,4*52/12)-MAX(Cronograma!$F$33,(4-1)*52/12))/Cronograma!$D$33)</f>
        <v>0</v>
      </c>
      <c r="G32" s="32" t="n">
        <f aca="false">IF(Cronograma!$D$33=0,0,Cronograma!$N$33*MAX(0,MIN(Cronograma!$G$33,5*52/12)-MAX(Cronograma!$F$33,(5-1)*52/12))/Cronograma!$D$33)</f>
        <v>0</v>
      </c>
      <c r="H32" s="32" t="n">
        <f aca="false">IF(Cronograma!$D$33=0,0,Cronograma!$N$33*MAX(0,MIN(Cronograma!$G$33,6*52/12)-MAX(Cronograma!$F$33,(6-1)*52/12))/Cronograma!$D$33)</f>
        <v>0</v>
      </c>
      <c r="I32" s="32" t="n">
        <f aca="false">IF(Cronograma!$D$33=0,0,Cronograma!$N$33*MAX(0,MIN(Cronograma!$G$33,7*52/12)-MAX(Cronograma!$F$33,(7-1)*52/12))/Cronograma!$D$33)</f>
        <v>0</v>
      </c>
      <c r="J32" s="32" t="n">
        <f aca="false">IF(Cronograma!$D$33=0,0,Cronograma!$N$33*MAX(0,MIN(Cronograma!$G$33,8*52/12)-MAX(Cronograma!$F$33,(8-1)*52/12))/Cronograma!$D$33)</f>
        <v>413523954.116059</v>
      </c>
      <c r="K32" s="32" t="n">
        <f aca="false">IF(Cronograma!$D$33=0,0,Cronograma!$N$33*MAX(0,MIN(Cronograma!$G$33,9*52/12)-MAX(Cronograma!$F$33,(9-1)*52/12))/Cronograma!$D$33)</f>
        <v>82704790.8232125</v>
      </c>
      <c r="L32" s="32" t="n">
        <f aca="false">IF(Cronograma!$D$33=0,0,Cronograma!$N$33*MAX(0,MIN(Cronograma!$G$33,10*52/12)-MAX(Cronograma!$F$33,(10-1)*52/12))/Cronograma!$D$33)</f>
        <v>0</v>
      </c>
      <c r="M32" s="32" t="n">
        <f aca="false">IF(Cronograma!$D$33=0,0,Cronograma!$N$33*MAX(0,MIN(Cronograma!$G$33,11*52/12)-MAX(Cronograma!$F$33,(11-1)*52/12))/Cronograma!$D$33)</f>
        <v>0</v>
      </c>
      <c r="N32" s="32" t="n">
        <f aca="false">IF(Cronograma!$D$33=0,0,Cronograma!$N$33*MAX(0,MIN(Cronograma!$G$33,12*52/12)-MAX(Cronograma!$F$33,(12-1)*52/12))/Cronograma!$D$33)</f>
        <v>0</v>
      </c>
      <c r="O32" s="32" t="n">
        <f aca="false">SUM(C32:N32)</f>
        <v>496228744.939271</v>
      </c>
    </row>
    <row r="33" customFormat="false" ht="15" hidden="false" customHeight="true" outlineLevel="0" collapsed="false">
      <c r="A33" s="7" t="s">
        <v>1090</v>
      </c>
      <c r="B33" s="7" t="s">
        <v>1437</v>
      </c>
      <c r="C33" s="32" t="n">
        <f aca="false">IF(Cronograma!$D$34=0,0,Cronograma!$N$34*MAX(0,MIN(Cronograma!$G$34,1*52/12)-MAX(Cronograma!$F$34,(1-1)*52/12))/Cronograma!$D$34)</f>
        <v>0</v>
      </c>
      <c r="D33" s="32" t="n">
        <f aca="false">IF(Cronograma!$D$34=0,0,Cronograma!$N$34*MAX(0,MIN(Cronograma!$G$34,2*52/12)-MAX(Cronograma!$F$34,(2-1)*52/12))/Cronograma!$D$34)</f>
        <v>0</v>
      </c>
      <c r="E33" s="32" t="n">
        <f aca="false">IF(Cronograma!$D$34=0,0,Cronograma!$N$34*MAX(0,MIN(Cronograma!$G$34,3*52/12)-MAX(Cronograma!$F$34,(3-1)*52/12))/Cronograma!$D$34)</f>
        <v>0</v>
      </c>
      <c r="F33" s="32" t="n">
        <f aca="false">IF(Cronograma!$D$34=0,0,Cronograma!$N$34*MAX(0,MIN(Cronograma!$G$34,4*52/12)-MAX(Cronograma!$F$34,(4-1)*52/12))/Cronograma!$D$34)</f>
        <v>0</v>
      </c>
      <c r="G33" s="32" t="n">
        <f aca="false">IF(Cronograma!$D$34=0,0,Cronograma!$N$34*MAX(0,MIN(Cronograma!$G$34,5*52/12)-MAX(Cronograma!$F$34,(5-1)*52/12))/Cronograma!$D$34)</f>
        <v>0</v>
      </c>
      <c r="H33" s="32" t="n">
        <f aca="false">IF(Cronograma!$D$34=0,0,Cronograma!$N$34*MAX(0,MIN(Cronograma!$G$34,6*52/12)-MAX(Cronograma!$F$34,(6-1)*52/12))/Cronograma!$D$34)</f>
        <v>0</v>
      </c>
      <c r="I33" s="32" t="n">
        <f aca="false">IF(Cronograma!$D$34=0,0,Cronograma!$N$34*MAX(0,MIN(Cronograma!$G$34,7*52/12)-MAX(Cronograma!$F$34,(7-1)*52/12))/Cronograma!$D$34)</f>
        <v>0</v>
      </c>
      <c r="J33" s="32" t="n">
        <f aca="false">IF(Cronograma!$D$34=0,0,Cronograma!$N$34*MAX(0,MIN(Cronograma!$G$34,8*52/12)-MAX(Cronograma!$F$34,(8-1)*52/12))/Cronograma!$D$34)</f>
        <v>471103238.866396</v>
      </c>
      <c r="K33" s="32" t="n">
        <f aca="false">IF(Cronograma!$D$34=0,0,Cronograma!$N$34*MAX(0,MIN(Cronograma!$G$34,9*52/12)-MAX(Cronograma!$F$34,(9-1)*52/12))/Cronograma!$D$34)</f>
        <v>94220647.77328</v>
      </c>
      <c r="L33" s="32" t="n">
        <f aca="false">IF(Cronograma!$D$34=0,0,Cronograma!$N$34*MAX(0,MIN(Cronograma!$G$34,10*52/12)-MAX(Cronograma!$F$34,(10-1)*52/12))/Cronograma!$D$34)</f>
        <v>0</v>
      </c>
      <c r="M33" s="32" t="n">
        <f aca="false">IF(Cronograma!$D$34=0,0,Cronograma!$N$34*MAX(0,MIN(Cronograma!$G$34,11*52/12)-MAX(Cronograma!$F$34,(11-1)*52/12))/Cronograma!$D$34)</f>
        <v>0</v>
      </c>
      <c r="N33" s="32" t="n">
        <f aca="false">IF(Cronograma!$D$34=0,0,Cronograma!$N$34*MAX(0,MIN(Cronograma!$G$34,12*52/12)-MAX(Cronograma!$F$34,(12-1)*52/12))/Cronograma!$D$34)</f>
        <v>0</v>
      </c>
      <c r="O33" s="32" t="n">
        <f aca="false">SUM(C33:N33)</f>
        <v>565323886.639676</v>
      </c>
    </row>
    <row r="34" customFormat="false" ht="15" hidden="false" customHeight="true" outlineLevel="0" collapsed="false">
      <c r="A34" s="7" t="s">
        <v>1095</v>
      </c>
      <c r="B34" s="7" t="s">
        <v>1439</v>
      </c>
      <c r="C34" s="32" t="n">
        <f aca="false">IF(Cronograma!$D$35=0,0,Cronograma!$N$35*MAX(0,MIN(Cronograma!$G$35,1*52/12)-MAX(Cronograma!$F$35,(1-1)*52/12))/Cronograma!$D$35)</f>
        <v>0</v>
      </c>
      <c r="D34" s="32" t="n">
        <f aca="false">IF(Cronograma!$D$35=0,0,Cronograma!$N$35*MAX(0,MIN(Cronograma!$G$35,2*52/12)-MAX(Cronograma!$F$35,(2-1)*52/12))/Cronograma!$D$35)</f>
        <v>0</v>
      </c>
      <c r="E34" s="32" t="n">
        <f aca="false">IF(Cronograma!$D$35=0,0,Cronograma!$N$35*MAX(0,MIN(Cronograma!$G$35,3*52/12)-MAX(Cronograma!$F$35,(3-1)*52/12))/Cronograma!$D$35)</f>
        <v>0</v>
      </c>
      <c r="F34" s="32" t="n">
        <f aca="false">IF(Cronograma!$D$35=0,0,Cronograma!$N$35*MAX(0,MIN(Cronograma!$G$35,4*52/12)-MAX(Cronograma!$F$35,(4-1)*52/12))/Cronograma!$D$35)</f>
        <v>0</v>
      </c>
      <c r="G34" s="32" t="n">
        <f aca="false">IF(Cronograma!$D$35=0,0,Cronograma!$N$35*MAX(0,MIN(Cronograma!$G$35,5*52/12)-MAX(Cronograma!$F$35,(5-1)*52/12))/Cronograma!$D$35)</f>
        <v>0</v>
      </c>
      <c r="H34" s="32" t="n">
        <f aca="false">IF(Cronograma!$D$35=0,0,Cronograma!$N$35*MAX(0,MIN(Cronograma!$G$35,6*52/12)-MAX(Cronograma!$F$35,(6-1)*52/12))/Cronograma!$D$35)</f>
        <v>0</v>
      </c>
      <c r="I34" s="32" t="n">
        <f aca="false">IF(Cronograma!$D$35=0,0,Cronograma!$N$35*MAX(0,MIN(Cronograma!$G$35,7*52/12)-MAX(Cronograma!$F$35,(7-1)*52/12))/Cronograma!$D$35)</f>
        <v>0</v>
      </c>
      <c r="J34" s="32" t="n">
        <f aca="false">IF(Cronograma!$D$35=0,0,Cronograma!$N$35*MAX(0,MIN(Cronograma!$G$35,8*52/12)-MAX(Cronograma!$F$35,(8-1)*52/12))/Cronograma!$D$35)</f>
        <v>28699392.7125506</v>
      </c>
      <c r="K34" s="32" t="n">
        <f aca="false">IF(Cronograma!$D$35=0,0,Cronograma!$N$35*MAX(0,MIN(Cronograma!$G$35,9*52/12)-MAX(Cronograma!$F$35,(9-1)*52/12))/Cronograma!$D$35)</f>
        <v>5739878.54251016</v>
      </c>
      <c r="L34" s="32" t="n">
        <f aca="false">IF(Cronograma!$D$35=0,0,Cronograma!$N$35*MAX(0,MIN(Cronograma!$G$35,10*52/12)-MAX(Cronograma!$F$35,(10-1)*52/12))/Cronograma!$D$35)</f>
        <v>0</v>
      </c>
      <c r="M34" s="32" t="n">
        <f aca="false">IF(Cronograma!$D$35=0,0,Cronograma!$N$35*MAX(0,MIN(Cronograma!$G$35,11*52/12)-MAX(Cronograma!$F$35,(11-1)*52/12))/Cronograma!$D$35)</f>
        <v>0</v>
      </c>
      <c r="N34" s="32" t="n">
        <f aca="false">IF(Cronograma!$D$35=0,0,Cronograma!$N$35*MAX(0,MIN(Cronograma!$G$35,12*52/12)-MAX(Cronograma!$F$35,(12-1)*52/12))/Cronograma!$D$35)</f>
        <v>0</v>
      </c>
      <c r="O34" s="32" t="n">
        <f aca="false">SUM(C34:N34)</f>
        <v>34439271.2550607</v>
      </c>
    </row>
    <row r="35" customFormat="false" ht="15" hidden="false" customHeight="true" outlineLevel="0" collapsed="false">
      <c r="A35" s="7" t="s">
        <v>1093</v>
      </c>
      <c r="B35" s="7" t="s">
        <v>1441</v>
      </c>
      <c r="C35" s="32" t="n">
        <f aca="false">IF(Cronograma!$D$36=0,0,Cronograma!$N$36*MAX(0,MIN(Cronograma!$G$36,1*52/12)-MAX(Cronograma!$F$36,(1-1)*52/12))/Cronograma!$D$36)</f>
        <v>0</v>
      </c>
      <c r="D35" s="32" t="n">
        <f aca="false">IF(Cronograma!$D$36=0,0,Cronograma!$N$36*MAX(0,MIN(Cronograma!$G$36,2*52/12)-MAX(Cronograma!$F$36,(2-1)*52/12))/Cronograma!$D$36)</f>
        <v>0</v>
      </c>
      <c r="E35" s="32" t="n">
        <f aca="false">IF(Cronograma!$D$36=0,0,Cronograma!$N$36*MAX(0,MIN(Cronograma!$G$36,3*52/12)-MAX(Cronograma!$F$36,(3-1)*52/12))/Cronograma!$D$36)</f>
        <v>0</v>
      </c>
      <c r="F35" s="32" t="n">
        <f aca="false">IF(Cronograma!$D$36=0,0,Cronograma!$N$36*MAX(0,MIN(Cronograma!$G$36,4*52/12)-MAX(Cronograma!$F$36,(4-1)*52/12))/Cronograma!$D$36)</f>
        <v>0</v>
      </c>
      <c r="G35" s="32" t="n">
        <f aca="false">IF(Cronograma!$D$36=0,0,Cronograma!$N$36*MAX(0,MIN(Cronograma!$G$36,5*52/12)-MAX(Cronograma!$F$36,(5-1)*52/12))/Cronograma!$D$36)</f>
        <v>0</v>
      </c>
      <c r="H35" s="32" t="n">
        <f aca="false">IF(Cronograma!$D$36=0,0,Cronograma!$N$36*MAX(0,MIN(Cronograma!$G$36,6*52/12)-MAX(Cronograma!$F$36,(6-1)*52/12))/Cronograma!$D$36)</f>
        <v>0</v>
      </c>
      <c r="I35" s="32" t="n">
        <f aca="false">IF(Cronograma!$D$36=0,0,Cronograma!$N$36*MAX(0,MIN(Cronograma!$G$36,7*52/12)-MAX(Cronograma!$F$36,(7-1)*52/12))/Cronograma!$D$36)</f>
        <v>97469635.6275304</v>
      </c>
      <c r="J35" s="32" t="n">
        <f aca="false">IF(Cronograma!$D$36=0,0,Cronograma!$N$36*MAX(0,MIN(Cronograma!$G$36,8*52/12)-MAX(Cronograma!$F$36,(8-1)*52/12))/Cronograma!$D$36)</f>
        <v>0</v>
      </c>
      <c r="K35" s="32" t="n">
        <f aca="false">IF(Cronograma!$D$36=0,0,Cronograma!$N$36*MAX(0,MIN(Cronograma!$G$36,9*52/12)-MAX(Cronograma!$F$36,(9-1)*52/12))/Cronograma!$D$36)</f>
        <v>0</v>
      </c>
      <c r="L35" s="32" t="n">
        <f aca="false">IF(Cronograma!$D$36=0,0,Cronograma!$N$36*MAX(0,MIN(Cronograma!$G$36,10*52/12)-MAX(Cronograma!$F$36,(10-1)*52/12))/Cronograma!$D$36)</f>
        <v>0</v>
      </c>
      <c r="M35" s="32" t="n">
        <f aca="false">IF(Cronograma!$D$36=0,0,Cronograma!$N$36*MAX(0,MIN(Cronograma!$G$36,11*52/12)-MAX(Cronograma!$F$36,(11-1)*52/12))/Cronograma!$D$36)</f>
        <v>0</v>
      </c>
      <c r="N35" s="32" t="n">
        <f aca="false">IF(Cronograma!$D$36=0,0,Cronograma!$N$36*MAX(0,MIN(Cronograma!$G$36,12*52/12)-MAX(Cronograma!$F$36,(12-1)*52/12))/Cronograma!$D$36)</f>
        <v>0</v>
      </c>
      <c r="O35" s="32" t="n">
        <f aca="false">SUM(C35:N35)</f>
        <v>97469635.6275304</v>
      </c>
    </row>
    <row r="36" customFormat="false" ht="15" hidden="false" customHeight="true" outlineLevel="0" collapsed="false">
      <c r="A36" s="7" t="s">
        <v>1442</v>
      </c>
      <c r="B36" s="7" t="s">
        <v>1443</v>
      </c>
      <c r="C36" s="32" t="n">
        <f aca="false">IF(Cronograma!$D$37=0,0,Cronograma!$N$37*MAX(0,MIN(Cronograma!$G$37,1*52/12)-MAX(Cronograma!$F$37,(1-1)*52/12))/Cronograma!$D$37)</f>
        <v>0</v>
      </c>
      <c r="D36" s="32" t="n">
        <f aca="false">IF(Cronograma!$D$37=0,0,Cronograma!$N$37*MAX(0,MIN(Cronograma!$G$37,2*52/12)-MAX(Cronograma!$F$37,(2-1)*52/12))/Cronograma!$D$37)</f>
        <v>0</v>
      </c>
      <c r="E36" s="32" t="n">
        <f aca="false">IF(Cronograma!$D$37=0,0,Cronograma!$N$37*MAX(0,MIN(Cronograma!$G$37,3*52/12)-MAX(Cronograma!$F$37,(3-1)*52/12))/Cronograma!$D$37)</f>
        <v>0</v>
      </c>
      <c r="F36" s="32" t="n">
        <f aca="false">IF(Cronograma!$D$37=0,0,Cronograma!$N$37*MAX(0,MIN(Cronograma!$G$37,4*52/12)-MAX(Cronograma!$F$37,(4-1)*52/12))/Cronograma!$D$37)</f>
        <v>0</v>
      </c>
      <c r="G36" s="32" t="n">
        <f aca="false">IF(Cronograma!$D$37=0,0,Cronograma!$N$37*MAX(0,MIN(Cronograma!$G$37,5*52/12)-MAX(Cronograma!$F$37,(5-1)*52/12))/Cronograma!$D$37)</f>
        <v>0</v>
      </c>
      <c r="H36" s="32" t="n">
        <f aca="false">IF(Cronograma!$D$37=0,0,Cronograma!$N$37*MAX(0,MIN(Cronograma!$G$37,6*52/12)-MAX(Cronograma!$F$37,(6-1)*52/12))/Cronograma!$D$37)</f>
        <v>0</v>
      </c>
      <c r="I36" s="32" t="n">
        <f aca="false">IF(Cronograma!$D$37=0,0,Cronograma!$N$37*MAX(0,MIN(Cronograma!$G$37,7*52/12)-MAX(Cronograma!$F$37,(7-1)*52/12))/Cronograma!$D$37)</f>
        <v>0</v>
      </c>
      <c r="J36" s="32" t="n">
        <f aca="false">IF(Cronograma!$D$37=0,0,Cronograma!$N$37*MAX(0,MIN(Cronograma!$G$37,8*52/12)-MAX(Cronograma!$F$37,(8-1)*52/12))/Cronograma!$D$37)</f>
        <v>0</v>
      </c>
      <c r="K36" s="32" t="n">
        <f aca="false">IF(Cronograma!$D$37=0,0,Cronograma!$N$37*MAX(0,MIN(Cronograma!$G$37,9*52/12)-MAX(Cronograma!$F$37,(9-1)*52/12))/Cronograma!$D$37)</f>
        <v>71477732.7935223</v>
      </c>
      <c r="L36" s="32" t="n">
        <f aca="false">IF(Cronograma!$D$37=0,0,Cronograma!$N$37*MAX(0,MIN(Cronograma!$G$37,10*52/12)-MAX(Cronograma!$F$37,(10-1)*52/12))/Cronograma!$D$37)</f>
        <v>0</v>
      </c>
      <c r="M36" s="32" t="n">
        <f aca="false">IF(Cronograma!$D$37=0,0,Cronograma!$N$37*MAX(0,MIN(Cronograma!$G$37,11*52/12)-MAX(Cronograma!$F$37,(11-1)*52/12))/Cronograma!$D$37)</f>
        <v>0</v>
      </c>
      <c r="N36" s="32" t="n">
        <f aca="false">IF(Cronograma!$D$37=0,0,Cronograma!$N$37*MAX(0,MIN(Cronograma!$G$37,12*52/12)-MAX(Cronograma!$F$37,(12-1)*52/12))/Cronograma!$D$37)</f>
        <v>0</v>
      </c>
      <c r="O36" s="32" t="n">
        <f aca="false">SUM(C36:N36)</f>
        <v>71477732.7935223</v>
      </c>
    </row>
    <row r="37" customFormat="false" ht="15" hidden="false" customHeight="true" outlineLevel="0" collapsed="false">
      <c r="A37" s="7" t="s">
        <v>1445</v>
      </c>
      <c r="B37" s="7" t="s">
        <v>1446</v>
      </c>
      <c r="C37" s="32" t="n">
        <f aca="false">IF(Cronograma!$D$38=0,0,Cronograma!$N$38*MAX(0,MIN(Cronograma!$G$38,1*52/12)-MAX(Cronograma!$F$38,(1-1)*52/12))/Cronograma!$D$38)</f>
        <v>0</v>
      </c>
      <c r="D37" s="32" t="n">
        <f aca="false">IF(Cronograma!$D$38=0,0,Cronograma!$N$38*MAX(0,MIN(Cronograma!$G$38,2*52/12)-MAX(Cronograma!$F$38,(2-1)*52/12))/Cronograma!$D$38)</f>
        <v>0</v>
      </c>
      <c r="E37" s="32" t="n">
        <f aca="false">IF(Cronograma!$D$38=0,0,Cronograma!$N$38*MAX(0,MIN(Cronograma!$G$38,3*52/12)-MAX(Cronograma!$F$38,(3-1)*52/12))/Cronograma!$D$38)</f>
        <v>0</v>
      </c>
      <c r="F37" s="32" t="n">
        <f aca="false">IF(Cronograma!$D$38=0,0,Cronograma!$N$38*MAX(0,MIN(Cronograma!$G$38,4*52/12)-MAX(Cronograma!$F$38,(4-1)*52/12))/Cronograma!$D$38)</f>
        <v>0</v>
      </c>
      <c r="G37" s="32" t="n">
        <f aca="false">IF(Cronograma!$D$38=0,0,Cronograma!$N$38*MAX(0,MIN(Cronograma!$G$38,5*52/12)-MAX(Cronograma!$F$38,(5-1)*52/12))/Cronograma!$D$38)</f>
        <v>0</v>
      </c>
      <c r="H37" s="32" t="n">
        <f aca="false">IF(Cronograma!$D$38=0,0,Cronograma!$N$38*MAX(0,MIN(Cronograma!$G$38,6*52/12)-MAX(Cronograma!$F$38,(6-1)*52/12))/Cronograma!$D$38)</f>
        <v>0</v>
      </c>
      <c r="I37" s="32" t="n">
        <f aca="false">IF(Cronograma!$D$38=0,0,Cronograma!$N$38*MAX(0,MIN(Cronograma!$G$38,7*52/12)-MAX(Cronograma!$F$38,(7-1)*52/12))/Cronograma!$D$38)</f>
        <v>0</v>
      </c>
      <c r="J37" s="32" t="n">
        <f aca="false">IF(Cronograma!$D$38=0,0,Cronograma!$N$38*MAX(0,MIN(Cronograma!$G$38,8*52/12)-MAX(Cronograma!$F$38,(8-1)*52/12))/Cronograma!$D$38)</f>
        <v>0</v>
      </c>
      <c r="K37" s="32" t="n">
        <f aca="false">IF(Cronograma!$D$38=0,0,Cronograma!$N$38*MAX(0,MIN(Cronograma!$G$38,9*52/12)-MAX(Cronograma!$F$38,(9-1)*52/12))/Cronograma!$D$38)</f>
        <v>45485829.9595142</v>
      </c>
      <c r="L37" s="32" t="n">
        <f aca="false">IF(Cronograma!$D$38=0,0,Cronograma!$N$38*MAX(0,MIN(Cronograma!$G$38,10*52/12)-MAX(Cronograma!$F$38,(10-1)*52/12))/Cronograma!$D$38)</f>
        <v>0</v>
      </c>
      <c r="M37" s="32" t="n">
        <f aca="false">IF(Cronograma!$D$38=0,0,Cronograma!$N$38*MAX(0,MIN(Cronograma!$G$38,11*52/12)-MAX(Cronograma!$F$38,(11-1)*52/12))/Cronograma!$D$38)</f>
        <v>0</v>
      </c>
      <c r="N37" s="32" t="n">
        <f aca="false">IF(Cronograma!$D$38=0,0,Cronograma!$N$38*MAX(0,MIN(Cronograma!$G$38,12*52/12)-MAX(Cronograma!$F$38,(12-1)*52/12))/Cronograma!$D$38)</f>
        <v>0</v>
      </c>
      <c r="O37" s="32" t="n">
        <f aca="false">SUM(C37:N37)</f>
        <v>45485829.9595142</v>
      </c>
    </row>
    <row r="38" customFormat="false" ht="15" hidden="false" customHeight="true" outlineLevel="0" collapsed="false">
      <c r="A38" s="7" t="s">
        <v>1447</v>
      </c>
      <c r="B38" s="7" t="s">
        <v>1448</v>
      </c>
      <c r="C38" s="32" t="n">
        <f aca="false">IF(Cronograma!$D$39=0,0,Cronograma!$N$39*MAX(0,MIN(Cronograma!$G$39,1*52/12)-MAX(Cronograma!$F$39,(1-1)*52/12))/Cronograma!$D$39)</f>
        <v>0</v>
      </c>
      <c r="D38" s="32" t="n">
        <f aca="false">IF(Cronograma!$D$39=0,0,Cronograma!$N$39*MAX(0,MIN(Cronograma!$G$39,2*52/12)-MAX(Cronograma!$F$39,(2-1)*52/12))/Cronograma!$D$39)</f>
        <v>0</v>
      </c>
      <c r="E38" s="32" t="n">
        <f aca="false">IF(Cronograma!$D$39=0,0,Cronograma!$N$39*MAX(0,MIN(Cronograma!$G$39,3*52/12)-MAX(Cronograma!$F$39,(3-1)*52/12))/Cronograma!$D$39)</f>
        <v>0</v>
      </c>
      <c r="F38" s="32" t="n">
        <f aca="false">IF(Cronograma!$D$39=0,0,Cronograma!$N$39*MAX(0,MIN(Cronograma!$G$39,4*52/12)-MAX(Cronograma!$F$39,(4-1)*52/12))/Cronograma!$D$39)</f>
        <v>0</v>
      </c>
      <c r="G38" s="32" t="n">
        <f aca="false">IF(Cronograma!$D$39=0,0,Cronograma!$N$39*MAX(0,MIN(Cronograma!$G$39,5*52/12)-MAX(Cronograma!$F$39,(5-1)*52/12))/Cronograma!$D$39)</f>
        <v>0</v>
      </c>
      <c r="H38" s="32" t="n">
        <f aca="false">IF(Cronograma!$D$39=0,0,Cronograma!$N$39*MAX(0,MIN(Cronograma!$G$39,6*52/12)-MAX(Cronograma!$F$39,(6-1)*52/12))/Cronograma!$D$39)</f>
        <v>0</v>
      </c>
      <c r="I38" s="32" t="n">
        <f aca="false">IF(Cronograma!$D$39=0,0,Cronograma!$N$39*MAX(0,MIN(Cronograma!$G$39,7*52/12)-MAX(Cronograma!$F$39,(7-1)*52/12))/Cronograma!$D$39)</f>
        <v>0</v>
      </c>
      <c r="J38" s="32" t="n">
        <f aca="false">IF(Cronograma!$D$39=0,0,Cronograma!$N$39*MAX(0,MIN(Cronograma!$G$39,8*52/12)-MAX(Cronograma!$F$39,(8-1)*52/12))/Cronograma!$D$39)</f>
        <v>0</v>
      </c>
      <c r="K38" s="32" t="n">
        <f aca="false">IF(Cronograma!$D$39=0,0,Cronograma!$N$39*MAX(0,MIN(Cronograma!$G$39,9*52/12)-MAX(Cronograma!$F$39,(9-1)*52/12))/Cronograma!$D$39)</f>
        <v>25991902.8340081</v>
      </c>
      <c r="L38" s="32" t="n">
        <f aca="false">IF(Cronograma!$D$39=0,0,Cronograma!$N$39*MAX(0,MIN(Cronograma!$G$39,10*52/12)-MAX(Cronograma!$F$39,(10-1)*52/12))/Cronograma!$D$39)</f>
        <v>0</v>
      </c>
      <c r="M38" s="32" t="n">
        <f aca="false">IF(Cronograma!$D$39=0,0,Cronograma!$N$39*MAX(0,MIN(Cronograma!$G$39,11*52/12)-MAX(Cronograma!$F$39,(11-1)*52/12))/Cronograma!$D$39)</f>
        <v>0</v>
      </c>
      <c r="N38" s="32" t="n">
        <f aca="false">IF(Cronograma!$D$39=0,0,Cronograma!$N$39*MAX(0,MIN(Cronograma!$G$39,12*52/12)-MAX(Cronograma!$F$39,(12-1)*52/12))/Cronograma!$D$39)</f>
        <v>0</v>
      </c>
      <c r="O38" s="32" t="n">
        <f aca="false">SUM(C38:N38)</f>
        <v>25991902.8340081</v>
      </c>
    </row>
    <row r="39" customFormat="false" ht="15" hidden="false" customHeight="true" outlineLevel="0" collapsed="false">
      <c r="A39" s="7" t="s">
        <v>1450</v>
      </c>
      <c r="B39" s="7" t="s">
        <v>1451</v>
      </c>
      <c r="C39" s="32" t="n">
        <f aca="false">IF(Cronograma!$D$40=0,0,Cronograma!$N$40*MAX(0,MIN(Cronograma!$G$40,1*52/12)-MAX(Cronograma!$F$40,(1-1)*52/12))/Cronograma!$D$40)</f>
        <v>0</v>
      </c>
      <c r="D39" s="32" t="n">
        <f aca="false">IF(Cronograma!$D$40=0,0,Cronograma!$N$40*MAX(0,MIN(Cronograma!$G$40,2*52/12)-MAX(Cronograma!$F$40,(2-1)*52/12))/Cronograma!$D$40)</f>
        <v>0</v>
      </c>
      <c r="E39" s="32" t="n">
        <f aca="false">IF(Cronograma!$D$40=0,0,Cronograma!$N$40*MAX(0,MIN(Cronograma!$G$40,3*52/12)-MAX(Cronograma!$F$40,(3-1)*52/12))/Cronograma!$D$40)</f>
        <v>0</v>
      </c>
      <c r="F39" s="32" t="n">
        <f aca="false">IF(Cronograma!$D$40=0,0,Cronograma!$N$40*MAX(0,MIN(Cronograma!$G$40,4*52/12)-MAX(Cronograma!$F$40,(4-1)*52/12))/Cronograma!$D$40)</f>
        <v>0</v>
      </c>
      <c r="G39" s="32" t="n">
        <f aca="false">IF(Cronograma!$D$40=0,0,Cronograma!$N$40*MAX(0,MIN(Cronograma!$G$40,5*52/12)-MAX(Cronograma!$F$40,(5-1)*52/12))/Cronograma!$D$40)</f>
        <v>0</v>
      </c>
      <c r="H39" s="32" t="n">
        <f aca="false">IF(Cronograma!$D$40=0,0,Cronograma!$N$40*MAX(0,MIN(Cronograma!$G$40,6*52/12)-MAX(Cronograma!$F$40,(6-1)*52/12))/Cronograma!$D$40)</f>
        <v>0</v>
      </c>
      <c r="I39" s="32" t="n">
        <f aca="false">IF(Cronograma!$D$40=0,0,Cronograma!$N$40*MAX(0,MIN(Cronograma!$G$40,7*52/12)-MAX(Cronograma!$F$40,(7-1)*52/12))/Cronograma!$D$40)</f>
        <v>0</v>
      </c>
      <c r="J39" s="32" t="n">
        <f aca="false">IF(Cronograma!$D$40=0,0,Cronograma!$N$40*MAX(0,MIN(Cronograma!$G$40,8*52/12)-MAX(Cronograma!$F$40,(8-1)*52/12))/Cronograma!$D$40)</f>
        <v>0</v>
      </c>
      <c r="K39" s="32" t="n">
        <f aca="false">IF(Cronograma!$D$40=0,0,Cronograma!$N$40*MAX(0,MIN(Cronograma!$G$40,9*52/12)-MAX(Cronograma!$F$40,(9-1)*52/12))/Cronograma!$D$40)</f>
        <v>0</v>
      </c>
      <c r="L39" s="32" t="n">
        <f aca="false">IF(Cronograma!$D$40=0,0,Cronograma!$N$40*MAX(0,MIN(Cronograma!$G$40,10*52/12)-MAX(Cronograma!$F$40,(10-1)*52/12))/Cronograma!$D$40)</f>
        <v>37543859.6491228</v>
      </c>
      <c r="M39" s="32" t="n">
        <f aca="false">IF(Cronograma!$D$40=0,0,Cronograma!$N$40*MAX(0,MIN(Cronograma!$G$40,11*52/12)-MAX(Cronograma!$F$40,(11-1)*52/12))/Cronograma!$D$40)</f>
        <v>14439946.0188934</v>
      </c>
      <c r="N39" s="32" t="n">
        <f aca="false">IF(Cronograma!$D$40=0,0,Cronograma!$N$40*MAX(0,MIN(Cronograma!$G$40,12*52/12)-MAX(Cronograma!$F$40,(12-1)*52/12))/Cronograma!$D$40)</f>
        <v>0</v>
      </c>
      <c r="O39" s="32" t="n">
        <f aca="false">SUM(C39:N39)</f>
        <v>51983805.6680162</v>
      </c>
    </row>
    <row r="40" customFormat="false" ht="15" hidden="false" customHeight="true" outlineLevel="0" collapsed="false">
      <c r="A40" s="7" t="s">
        <v>1453</v>
      </c>
      <c r="B40" s="7" t="s">
        <v>1454</v>
      </c>
      <c r="C40" s="32" t="n">
        <f aca="false">IF(Cronograma!$D$41=0,0,Cronograma!$N$41*MAX(0,MIN(Cronograma!$G$41,1*52/12)-MAX(Cronograma!$F$41,(1-1)*52/12))/Cronograma!$D$41)</f>
        <v>0</v>
      </c>
      <c r="D40" s="32" t="n">
        <f aca="false">IF(Cronograma!$D$41=0,0,Cronograma!$N$41*MAX(0,MIN(Cronograma!$G$41,2*52/12)-MAX(Cronograma!$F$41,(2-1)*52/12))/Cronograma!$D$41)</f>
        <v>0</v>
      </c>
      <c r="E40" s="32" t="n">
        <f aca="false">IF(Cronograma!$D$41=0,0,Cronograma!$N$41*MAX(0,MIN(Cronograma!$G$41,3*52/12)-MAX(Cronograma!$F$41,(3-1)*52/12))/Cronograma!$D$41)</f>
        <v>0</v>
      </c>
      <c r="F40" s="32" t="n">
        <f aca="false">IF(Cronograma!$D$41=0,0,Cronograma!$N$41*MAX(0,MIN(Cronograma!$G$41,4*52/12)-MAX(Cronograma!$F$41,(4-1)*52/12))/Cronograma!$D$41)</f>
        <v>0</v>
      </c>
      <c r="G40" s="32" t="n">
        <f aca="false">IF(Cronograma!$D$41=0,0,Cronograma!$N$41*MAX(0,MIN(Cronograma!$G$41,5*52/12)-MAX(Cronograma!$F$41,(5-1)*52/12))/Cronograma!$D$41)</f>
        <v>0</v>
      </c>
      <c r="H40" s="32" t="n">
        <f aca="false">IF(Cronograma!$D$41=0,0,Cronograma!$N$41*MAX(0,MIN(Cronograma!$G$41,6*52/12)-MAX(Cronograma!$F$41,(6-1)*52/12))/Cronograma!$D$41)</f>
        <v>0</v>
      </c>
      <c r="I40" s="32" t="n">
        <f aca="false">IF(Cronograma!$D$41=0,0,Cronograma!$N$41*MAX(0,MIN(Cronograma!$G$41,7*52/12)-MAX(Cronograma!$F$41,(7-1)*52/12))/Cronograma!$D$41)</f>
        <v>0</v>
      </c>
      <c r="J40" s="32" t="n">
        <f aca="false">IF(Cronograma!$D$41=0,0,Cronograma!$N$41*MAX(0,MIN(Cronograma!$G$41,8*52/12)-MAX(Cronograma!$F$41,(8-1)*52/12))/Cronograma!$D$41)</f>
        <v>0</v>
      </c>
      <c r="K40" s="32" t="n">
        <f aca="false">IF(Cronograma!$D$41=0,0,Cronograma!$N$41*MAX(0,MIN(Cronograma!$G$41,9*52/12)-MAX(Cronograma!$F$41,(9-1)*52/12))/Cronograma!$D$41)</f>
        <v>0</v>
      </c>
      <c r="L40" s="32" t="n">
        <f aca="false">IF(Cronograma!$D$41=0,0,Cronograma!$N$41*MAX(0,MIN(Cronograma!$G$41,10*52/12)-MAX(Cronograma!$F$41,(10-1)*52/12))/Cronograma!$D$41)</f>
        <v>38987854.2510122</v>
      </c>
      <c r="M40" s="32" t="n">
        <f aca="false">IF(Cronograma!$D$41=0,0,Cronograma!$N$41*MAX(0,MIN(Cronograma!$G$41,11*52/12)-MAX(Cronograma!$F$41,(11-1)*52/12))/Cronograma!$D$41)</f>
        <v>0</v>
      </c>
      <c r="N40" s="32" t="n">
        <f aca="false">IF(Cronograma!$D$41=0,0,Cronograma!$N$41*MAX(0,MIN(Cronograma!$G$41,12*52/12)-MAX(Cronograma!$F$41,(12-1)*52/12))/Cronograma!$D$41)</f>
        <v>0</v>
      </c>
      <c r="O40" s="32" t="n">
        <f aca="false">SUM(C40:N40)</f>
        <v>38987854.2510122</v>
      </c>
    </row>
    <row r="41" customFormat="false" ht="15" hidden="false" customHeight="true" outlineLevel="0" collapsed="false">
      <c r="A41" s="7" t="s">
        <v>1455</v>
      </c>
      <c r="B41" s="7" t="s">
        <v>1456</v>
      </c>
      <c r="C41" s="32" t="n">
        <f aca="false">IF(Cronograma!$D$42=0,0,Cronograma!$N$42*MAX(0,MIN(Cronograma!$G$42,1*52/12)-MAX(Cronograma!$F$42,(1-1)*52/12))/Cronograma!$D$42)</f>
        <v>0</v>
      </c>
      <c r="D41" s="32" t="n">
        <f aca="false">IF(Cronograma!$D$42=0,0,Cronograma!$N$42*MAX(0,MIN(Cronograma!$G$42,2*52/12)-MAX(Cronograma!$F$42,(2-1)*52/12))/Cronograma!$D$42)</f>
        <v>0</v>
      </c>
      <c r="E41" s="32" t="n">
        <f aca="false">IF(Cronograma!$D$42=0,0,Cronograma!$N$42*MAX(0,MIN(Cronograma!$G$42,3*52/12)-MAX(Cronograma!$F$42,(3-1)*52/12))/Cronograma!$D$42)</f>
        <v>0</v>
      </c>
      <c r="F41" s="32" t="n">
        <f aca="false">IF(Cronograma!$D$42=0,0,Cronograma!$N$42*MAX(0,MIN(Cronograma!$G$42,4*52/12)-MAX(Cronograma!$F$42,(4-1)*52/12))/Cronograma!$D$42)</f>
        <v>0</v>
      </c>
      <c r="G41" s="32" t="n">
        <f aca="false">IF(Cronograma!$D$42=0,0,Cronograma!$N$42*MAX(0,MIN(Cronograma!$G$42,5*52/12)-MAX(Cronograma!$F$42,(5-1)*52/12))/Cronograma!$D$42)</f>
        <v>0</v>
      </c>
      <c r="H41" s="32" t="n">
        <f aca="false">IF(Cronograma!$D$42=0,0,Cronograma!$N$42*MAX(0,MIN(Cronograma!$G$42,6*52/12)-MAX(Cronograma!$F$42,(6-1)*52/12))/Cronograma!$D$42)</f>
        <v>0</v>
      </c>
      <c r="I41" s="32" t="n">
        <f aca="false">IF(Cronograma!$D$42=0,0,Cronograma!$N$42*MAX(0,MIN(Cronograma!$G$42,7*52/12)-MAX(Cronograma!$F$42,(7-1)*52/12))/Cronograma!$D$42)</f>
        <v>0</v>
      </c>
      <c r="J41" s="32" t="n">
        <f aca="false">IF(Cronograma!$D$42=0,0,Cronograma!$N$42*MAX(0,MIN(Cronograma!$G$42,8*52/12)-MAX(Cronograma!$F$42,(8-1)*52/12))/Cronograma!$D$42)</f>
        <v>0</v>
      </c>
      <c r="K41" s="32" t="n">
        <f aca="false">IF(Cronograma!$D$42=0,0,Cronograma!$N$42*MAX(0,MIN(Cronograma!$G$42,9*52/12)-MAX(Cronograma!$F$42,(9-1)*52/12))/Cronograma!$D$42)</f>
        <v>0</v>
      </c>
      <c r="L41" s="32" t="n">
        <f aca="false">IF(Cronograma!$D$42=0,0,Cronograma!$N$42*MAX(0,MIN(Cronograma!$G$42,10*52/12)-MAX(Cronograma!$F$42,(10-1)*52/12))/Cronograma!$D$42)</f>
        <v>0</v>
      </c>
      <c r="M41" s="32" t="n">
        <f aca="false">IF(Cronograma!$D$42=0,0,Cronograma!$N$42*MAX(0,MIN(Cronograma!$G$42,11*52/12)-MAX(Cronograma!$F$42,(11-1)*52/12))/Cronograma!$D$42)</f>
        <v>25991902.8340081</v>
      </c>
      <c r="N41" s="32" t="n">
        <f aca="false">IF(Cronograma!$D$42=0,0,Cronograma!$N$42*MAX(0,MIN(Cronograma!$G$42,12*52/12)-MAX(Cronograma!$F$42,(12-1)*52/12))/Cronograma!$D$42)</f>
        <v>0</v>
      </c>
      <c r="O41" s="32" t="n">
        <f aca="false">SUM(C41:N41)</f>
        <v>25991902.8340081</v>
      </c>
    </row>
    <row r="42" customFormat="false" ht="15" hidden="false" customHeight="true" outlineLevel="0" collapsed="false">
      <c r="A42" s="7" t="s">
        <v>1457</v>
      </c>
      <c r="B42" s="7" t="s">
        <v>1524</v>
      </c>
      <c r="C42" s="32" t="n">
        <f aca="false">IF(Cronograma!$D$43=0,0,Cronograma!$N$43*MAX(0,MIN(Cronograma!$G$43,1*52/12)-MAX(Cronograma!$F$43,(1-1)*52/12))/Cronograma!$D$43)</f>
        <v>0</v>
      </c>
      <c r="D42" s="32" t="n">
        <f aca="false">IF(Cronograma!$D$43=0,0,Cronograma!$N$43*MAX(0,MIN(Cronograma!$G$43,2*52/12)-MAX(Cronograma!$F$43,(2-1)*52/12))/Cronograma!$D$43)</f>
        <v>0</v>
      </c>
      <c r="E42" s="32" t="n">
        <f aca="false">IF(Cronograma!$D$43=0,0,Cronograma!$N$43*MAX(0,MIN(Cronograma!$G$43,3*52/12)-MAX(Cronograma!$F$43,(3-1)*52/12))/Cronograma!$D$43)</f>
        <v>0</v>
      </c>
      <c r="F42" s="32" t="n">
        <f aca="false">IF(Cronograma!$D$43=0,0,Cronograma!$N$43*MAX(0,MIN(Cronograma!$G$43,4*52/12)-MAX(Cronograma!$F$43,(4-1)*52/12))/Cronograma!$D$43)</f>
        <v>0</v>
      </c>
      <c r="G42" s="32" t="n">
        <f aca="false">IF(Cronograma!$D$43=0,0,Cronograma!$N$43*MAX(0,MIN(Cronograma!$G$43,5*52/12)-MAX(Cronograma!$F$43,(5-1)*52/12))/Cronograma!$D$43)</f>
        <v>0</v>
      </c>
      <c r="H42" s="32" t="n">
        <f aca="false">IF(Cronograma!$D$43=0,0,Cronograma!$N$43*MAX(0,MIN(Cronograma!$G$43,6*52/12)-MAX(Cronograma!$F$43,(6-1)*52/12))/Cronograma!$D$43)</f>
        <v>0</v>
      </c>
      <c r="I42" s="32" t="n">
        <f aca="false">IF(Cronograma!$D$43=0,0,Cronograma!$N$43*MAX(0,MIN(Cronograma!$G$43,7*52/12)-MAX(Cronograma!$F$43,(7-1)*52/12))/Cronograma!$D$43)</f>
        <v>0</v>
      </c>
      <c r="J42" s="32" t="n">
        <f aca="false">IF(Cronograma!$D$43=0,0,Cronograma!$N$43*MAX(0,MIN(Cronograma!$G$43,8*52/12)-MAX(Cronograma!$F$43,(8-1)*52/12))/Cronograma!$D$43)</f>
        <v>0</v>
      </c>
      <c r="K42" s="32" t="n">
        <f aca="false">IF(Cronograma!$D$43=0,0,Cronograma!$N$43*MAX(0,MIN(Cronograma!$G$43,9*52/12)-MAX(Cronograma!$F$43,(9-1)*52/12))/Cronograma!$D$43)</f>
        <v>0</v>
      </c>
      <c r="L42" s="32" t="n">
        <f aca="false">IF(Cronograma!$D$43=0,0,Cronograma!$N$43*MAX(0,MIN(Cronograma!$G$43,10*52/12)-MAX(Cronograma!$F$43,(10-1)*52/12))/Cronograma!$D$43)</f>
        <v>0</v>
      </c>
      <c r="M42" s="32" t="n">
        <f aca="false">IF(Cronograma!$D$43=0,0,Cronograma!$N$43*MAX(0,MIN(Cronograma!$G$43,11*52/12)-MAX(Cronograma!$F$43,(11-1)*52/12))/Cronograma!$D$43)</f>
        <v>8663967.611336</v>
      </c>
      <c r="N42" s="32" t="n">
        <f aca="false">IF(Cronograma!$D$43=0,0,Cronograma!$N$43*MAX(0,MIN(Cronograma!$G$43,12*52/12)-MAX(Cronograma!$F$43,(12-1)*52/12))/Cronograma!$D$43)</f>
        <v>4331983.80566805</v>
      </c>
      <c r="O42" s="32" t="n">
        <f aca="false">SUM(C42:N42)</f>
        <v>12995951.417004</v>
      </c>
    </row>
    <row r="43" customFormat="false" ht="15" hidden="false" customHeight="true" outlineLevel="0" collapsed="false">
      <c r="B43" s="34" t="s">
        <v>1525</v>
      </c>
      <c r="C43" s="36" t="n">
        <f aca="false">SUM(C5:C42)</f>
        <v>134291497.975708</v>
      </c>
      <c r="D43" s="36" t="n">
        <f aca="false">SUM(D5:D42)</f>
        <v>174787810.873337</v>
      </c>
      <c r="E43" s="36" t="n">
        <f aca="false">SUM(E5:E42)</f>
        <v>347593323.551244</v>
      </c>
      <c r="F43" s="36" t="n">
        <f aca="false">SUM(F5:F42)</f>
        <v>1722730048.51291</v>
      </c>
      <c r="G43" s="36" t="n">
        <f aca="false">SUM(G5:G42)</f>
        <v>1684440266.51155</v>
      </c>
      <c r="H43" s="36" t="n">
        <f aca="false">SUM(H5:H42)</f>
        <v>1703934193.63705</v>
      </c>
      <c r="I43" s="36" t="n">
        <f aca="false">SUM(I5:I42)</f>
        <v>1088719453.40601</v>
      </c>
      <c r="J43" s="36" t="n">
        <f aca="false">SUM(J5:J42)</f>
        <v>1163753273.84232</v>
      </c>
      <c r="K43" s="36" t="n">
        <f aca="false">SUM(K5:K42)</f>
        <v>343219466.936574</v>
      </c>
      <c r="L43" s="36" t="n">
        <f aca="false">SUM(L5:L42)</f>
        <v>94130398.1106613</v>
      </c>
      <c r="M43" s="36" t="n">
        <f aca="false">SUM(M5:M42)</f>
        <v>63987010.7962213</v>
      </c>
      <c r="N43" s="36" t="n">
        <f aca="false">SUM(N5:N42)</f>
        <v>4331983.80566805</v>
      </c>
      <c r="O43" s="36" t="n">
        <f aca="false">SUM(C43:N43)</f>
        <v>8525918727.95925</v>
      </c>
    </row>
    <row r="44" customFormat="false" ht="15" hidden="false" customHeight="true" outlineLevel="0" collapsed="false">
      <c r="B44" s="34" t="s">
        <v>1526</v>
      </c>
      <c r="C44" s="36" t="n">
        <f aca="false">C43</f>
        <v>134291497.975708</v>
      </c>
      <c r="D44" s="36" t="n">
        <f aca="false">C44+D43</f>
        <v>309079308.849046</v>
      </c>
      <c r="E44" s="36" t="n">
        <f aca="false">D44+E43</f>
        <v>656672632.400289</v>
      </c>
      <c r="F44" s="36" t="n">
        <f aca="false">E44+F43</f>
        <v>2379402680.9132</v>
      </c>
      <c r="G44" s="36" t="n">
        <f aca="false">F44+G43</f>
        <v>4063842947.42474</v>
      </c>
      <c r="H44" s="36" t="n">
        <f aca="false">G44+H43</f>
        <v>5767777141.06179</v>
      </c>
      <c r="I44" s="36" t="n">
        <f aca="false">H44+I43</f>
        <v>6856496594.46781</v>
      </c>
      <c r="J44" s="36" t="n">
        <f aca="false">I44+J43</f>
        <v>8020249868.31013</v>
      </c>
      <c r="K44" s="36" t="n">
        <f aca="false">J44+K43</f>
        <v>8363469335.2467</v>
      </c>
      <c r="L44" s="36" t="n">
        <f aca="false">K44+L43</f>
        <v>8457599733.35736</v>
      </c>
      <c r="M44" s="36" t="n">
        <f aca="false">L44+M43</f>
        <v>8521586744.15358</v>
      </c>
      <c r="N44" s="36" t="n">
        <f aca="false">M44+N43</f>
        <v>8525918727.95925</v>
      </c>
    </row>
    <row r="45" customFormat="false" ht="15" hidden="false" customHeight="true" outlineLevel="0" collapsed="false">
      <c r="B45" s="34" t="s">
        <v>1527</v>
      </c>
      <c r="C45" s="87" t="n">
        <f aca="false">C44/$O$43</f>
        <v>0.015750970922972</v>
      </c>
      <c r="D45" s="87" t="n">
        <f aca="false">D44/$O$43</f>
        <v>0.0362517306006536</v>
      </c>
      <c r="E45" s="87" t="n">
        <f aca="false">E44/$O$43</f>
        <v>0.0770207473649552</v>
      </c>
      <c r="F45" s="87" t="n">
        <f aca="false">F44/$O$43</f>
        <v>0.279078742928943</v>
      </c>
      <c r="G45" s="87" t="n">
        <f aca="false">G44/$O$43</f>
        <v>0.476645752451063</v>
      </c>
      <c r="H45" s="87" t="n">
        <f aca="false">H44/$O$43</f>
        <v>0.676499193236195</v>
      </c>
      <c r="I45" s="87" t="n">
        <f aca="false">I44/$O$43</f>
        <v>0.804194458479077</v>
      </c>
      <c r="J45" s="87" t="n">
        <f aca="false">J44/$O$43</f>
        <v>0.940690396450664</v>
      </c>
      <c r="K45" s="87" t="n">
        <f aca="false">K44/$O$43</f>
        <v>0.980946406141566</v>
      </c>
      <c r="L45" s="87" t="n">
        <f aca="false">L44/$O$43</f>
        <v>0.991986905249537</v>
      </c>
      <c r="M45" s="87" t="n">
        <f aca="false">M44/$O$43</f>
        <v>0.999491904163775</v>
      </c>
      <c r="N45" s="87" t="n">
        <f aca="false">N44/$O$43</f>
        <v>1</v>
      </c>
    </row>
    <row r="46" customFormat="false" ht="15" hidden="false" customHeight="true" outlineLevel="0" collapsed="false">
      <c r="B46" s="7" t="s">
        <v>1528</v>
      </c>
      <c r="O46" s="32" t="n">
        <f aca="false">O43-Precio_Kuajo!$C$19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95"/>
  </cols>
  <sheetData>
    <row r="1" customFormat="false" ht="17.25" hidden="false" customHeight="true" outlineLevel="0" collapsed="false">
      <c r="A1" s="2" t="s">
        <v>1529</v>
      </c>
    </row>
    <row r="2" customFormat="false" ht="15" hidden="false" customHeight="true" outlineLevel="0" collapsed="false">
      <c r="A2" s="3" t="s">
        <v>1530</v>
      </c>
    </row>
    <row r="4" customFormat="false" ht="15" hidden="false" customHeight="true" outlineLevel="0" collapsed="false">
      <c r="A4" s="4" t="s">
        <v>1531</v>
      </c>
      <c r="B4" s="4" t="s">
        <v>1532</v>
      </c>
      <c r="C4" s="4" t="s">
        <v>1533</v>
      </c>
      <c r="D4" s="4" t="s">
        <v>1534</v>
      </c>
      <c r="E4" s="4" t="s">
        <v>81</v>
      </c>
    </row>
    <row r="5" customFormat="false" ht="34.5" hidden="false" customHeight="true" outlineLevel="0" collapsed="false">
      <c r="A5" s="7" t="s">
        <v>1535</v>
      </c>
      <c r="B5" s="30" t="n">
        <v>15300</v>
      </c>
      <c r="C5" s="30" t="n">
        <v>26000</v>
      </c>
      <c r="D5" s="30" t="n">
        <v>12000</v>
      </c>
      <c r="E5" s="7" t="s">
        <v>1536</v>
      </c>
    </row>
    <row r="6" customFormat="false" ht="15" hidden="false" customHeight="true" outlineLevel="0" collapsed="false">
      <c r="A6" s="7" t="s">
        <v>1537</v>
      </c>
      <c r="B6" s="42" t="n">
        <v>0.4</v>
      </c>
      <c r="C6" s="42" t="n">
        <v>0.4</v>
      </c>
      <c r="D6" s="42" t="n">
        <v>0.4</v>
      </c>
      <c r="E6" s="7" t="s">
        <v>1538</v>
      </c>
    </row>
    <row r="7" customFormat="false" ht="15" hidden="false" customHeight="true" outlineLevel="0" collapsed="false">
      <c r="A7" s="7" t="s">
        <v>1539</v>
      </c>
      <c r="B7" s="32" t="n">
        <f aca="false">B5*(1-B6)</f>
        <v>9180</v>
      </c>
      <c r="C7" s="32" t="n">
        <f aca="false">C5*(1-C6)</f>
        <v>15600</v>
      </c>
      <c r="D7" s="32" t="n">
        <f aca="false">D5*(1-D6)</f>
        <v>7200</v>
      </c>
      <c r="E7" s="7" t="s">
        <v>736</v>
      </c>
    </row>
    <row r="8" customFormat="false" ht="15" hidden="false" customHeight="true" outlineLevel="0" collapsed="false">
      <c r="A8" s="7" t="s">
        <v>1540</v>
      </c>
      <c r="B8" s="88" t="n">
        <v>0.757</v>
      </c>
      <c r="C8" s="88" t="n">
        <v>3.274</v>
      </c>
      <c r="D8" s="88" t="n">
        <v>1.02</v>
      </c>
      <c r="E8" s="7" t="s">
        <v>1541</v>
      </c>
    </row>
    <row r="9" customFormat="false" ht="15" hidden="false" customHeight="true" outlineLevel="0" collapsed="false">
      <c r="A9" s="7" t="s">
        <v>1542</v>
      </c>
      <c r="B9" s="43" t="n">
        <v>1</v>
      </c>
      <c r="C9" s="43" t="n">
        <v>0.82</v>
      </c>
      <c r="D9" s="43" t="n">
        <v>1</v>
      </c>
      <c r="E9" s="7" t="s">
        <v>1543</v>
      </c>
    </row>
    <row r="10" customFormat="false" ht="15" hidden="false" customHeight="true" outlineLevel="0" collapsed="false">
      <c r="A10" s="7" t="s">
        <v>1544</v>
      </c>
      <c r="B10" s="32" t="n">
        <f aca="false">B8*B9*Supuestos!$B$69*(1+Supuestos!$B$70)/1.03</f>
        <v>1646.80572815534</v>
      </c>
      <c r="C10" s="32" t="n">
        <f aca="false">C8*C9*Supuestos!$B$69*(1+Supuestos!$B$70)/1.03</f>
        <v>5840.3519184466</v>
      </c>
      <c r="D10" s="32" t="n">
        <f aca="false">D8*D9*Supuestos!$B$69*(1+Supuestos!$B$70)/1.03</f>
        <v>2218.94563106796</v>
      </c>
      <c r="E10" s="7" t="s">
        <v>1545</v>
      </c>
    </row>
    <row r="11" customFormat="false" ht="23.25" hidden="false" customHeight="true" outlineLevel="0" collapsed="false">
      <c r="A11" s="7" t="s">
        <v>1546</v>
      </c>
      <c r="B11" s="30" t="n">
        <v>2207</v>
      </c>
      <c r="C11" s="30" t="n">
        <v>60</v>
      </c>
      <c r="D11" s="30" t="n">
        <v>80</v>
      </c>
      <c r="E11" s="7" t="s">
        <v>1547</v>
      </c>
    </row>
    <row r="12" customFormat="false" ht="23.25" hidden="false" customHeight="true" outlineLevel="0" collapsed="false">
      <c r="A12" s="7" t="s">
        <v>1548</v>
      </c>
      <c r="B12" s="30" t="n">
        <v>870</v>
      </c>
      <c r="C12" s="30" t="n">
        <v>760</v>
      </c>
      <c r="D12" s="30" t="n">
        <v>924</v>
      </c>
      <c r="E12" s="7" t="s">
        <v>1549</v>
      </c>
    </row>
    <row r="13" customFormat="false" ht="15" hidden="false" customHeight="true" outlineLevel="0" collapsed="false">
      <c r="A13" s="7" t="s">
        <v>1550</v>
      </c>
      <c r="B13" s="33" t="n">
        <f aca="false">Supuestos!$B$76</f>
        <v>250</v>
      </c>
      <c r="C13" s="33" t="n">
        <f aca="false">Supuestos!$B$76</f>
        <v>250</v>
      </c>
      <c r="D13" s="33" t="n">
        <f aca="false">Supuestos!$B$76</f>
        <v>250</v>
      </c>
      <c r="E13" s="7" t="s">
        <v>1551</v>
      </c>
    </row>
    <row r="14" customFormat="false" ht="15" hidden="false" customHeight="true" outlineLevel="0" collapsed="false">
      <c r="A14" s="7" t="s">
        <v>1552</v>
      </c>
      <c r="B14" s="42" t="n">
        <v>0.12</v>
      </c>
      <c r="C14" s="42" t="n">
        <v>0.12</v>
      </c>
      <c r="D14" s="42" t="n">
        <v>0.12</v>
      </c>
      <c r="E14" s="7" t="s">
        <v>1553</v>
      </c>
    </row>
    <row r="15" customFormat="false" ht="15" hidden="false" customHeight="true" outlineLevel="0" collapsed="false">
      <c r="A15" s="7" t="s">
        <v>1554</v>
      </c>
      <c r="B15" s="32" t="n">
        <f aca="false">B10+B11+B12+B13+B14*B7</f>
        <v>6075.40572815534</v>
      </c>
      <c r="C15" s="32" t="n">
        <f aca="false">C10+C11+C12+C13+C14*C7</f>
        <v>8782.3519184466</v>
      </c>
      <c r="D15" s="32" t="n">
        <f aca="false">D10+D11+D12+D13+D14*D7</f>
        <v>4336.94563106796</v>
      </c>
      <c r="E15" s="7" t="s">
        <v>750</v>
      </c>
    </row>
    <row r="16" customFormat="false" ht="15" hidden="false" customHeight="true" outlineLevel="0" collapsed="false">
      <c r="A16" s="7" t="s">
        <v>1555</v>
      </c>
      <c r="B16" s="32" t="n">
        <f aca="false">B7-B15</f>
        <v>3104.59427184466</v>
      </c>
      <c r="C16" s="32" t="n">
        <f aca="false">C7-C15</f>
        <v>6817.6480815534</v>
      </c>
      <c r="D16" s="32" t="n">
        <f aca="false">D7-D15</f>
        <v>2863.05436893204</v>
      </c>
      <c r="E16" s="7" t="s">
        <v>752</v>
      </c>
    </row>
    <row r="17" customFormat="false" ht="15" hidden="false" customHeight="true" outlineLevel="0" collapsed="false">
      <c r="A17" s="7" t="s">
        <v>1556</v>
      </c>
      <c r="B17" s="38" t="n">
        <f aca="false">B16/B7</f>
        <v>0.338191097150834</v>
      </c>
      <c r="C17" s="38" t="n">
        <f aca="false">C16/C7</f>
        <v>0.4370287231765</v>
      </c>
      <c r="D17" s="38" t="n">
        <f aca="false">D16/D7</f>
        <v>0.39764644012945</v>
      </c>
      <c r="E17" s="7"/>
    </row>
    <row r="18" customFormat="false" ht="15" hidden="false" customHeight="true" outlineLevel="0" collapsed="false">
      <c r="A18" s="7" t="s">
        <v>1557</v>
      </c>
      <c r="B18" s="33" t="n">
        <f aca="false">Supuestos!$B$59</f>
        <v>26400</v>
      </c>
      <c r="C18" s="33" t="n">
        <f aca="false">Supuestos!$B$60</f>
        <v>5900</v>
      </c>
      <c r="D18" s="33" t="n">
        <f aca="false">Supuestos!$B$61</f>
        <v>11400</v>
      </c>
      <c r="E18" s="7" t="s">
        <v>1558</v>
      </c>
    </row>
    <row r="19" customFormat="false" ht="15" hidden="false" customHeight="true" outlineLevel="0" collapsed="false">
      <c r="A19" s="7" t="s">
        <v>693</v>
      </c>
      <c r="B19" s="33" t="n">
        <f aca="false">Supuestos!$B$63</f>
        <v>30000</v>
      </c>
      <c r="C19" s="33" t="n">
        <f aca="false">Supuestos!$B$64</f>
        <v>10000</v>
      </c>
      <c r="D19" s="33" t="n">
        <f aca="false">Supuestos!$B$65</f>
        <v>12400</v>
      </c>
      <c r="E19" s="7" t="s">
        <v>1559</v>
      </c>
    </row>
    <row r="20" customFormat="false" ht="15" hidden="false" customHeight="true" outlineLevel="0" collapsed="false">
      <c r="A20" s="7" t="s">
        <v>1560</v>
      </c>
      <c r="B20" s="32" t="n">
        <f aca="false">B19-B18</f>
        <v>3600</v>
      </c>
      <c r="C20" s="32" t="n">
        <f aca="false">C19-C18</f>
        <v>4100</v>
      </c>
      <c r="D20" s="32" t="n">
        <f aca="false">D19-D18</f>
        <v>1000</v>
      </c>
      <c r="E20" s="7" t="s">
        <v>1561</v>
      </c>
    </row>
    <row r="21" customFormat="false" ht="15" hidden="false" customHeight="true" outlineLevel="0" collapsed="false">
      <c r="A21" s="7" t="s">
        <v>1562</v>
      </c>
      <c r="B21" s="38" t="n">
        <f aca="false">B19/SUM($B$19:$D$19)</f>
        <v>0.572519083969466</v>
      </c>
      <c r="C21" s="38" t="n">
        <f aca="false">C19/SUM($B$19:$D$19)</f>
        <v>0.190839694656489</v>
      </c>
      <c r="D21" s="38" t="n">
        <f aca="false">D19/SUM($B$19:$D$19)</f>
        <v>0.236641221374046</v>
      </c>
      <c r="E21" s="7" t="s">
        <v>1563</v>
      </c>
    </row>
    <row r="22" customFormat="false" ht="15" hidden="false" customHeight="true" outlineLevel="0" collapsed="false">
      <c r="A22" s="34" t="s">
        <v>1564</v>
      </c>
      <c r="B22" s="36" t="n">
        <f aca="false">SUMPRODUCT(B16:D16,B21:D21)</f>
        <v>3756.03402949678</v>
      </c>
    </row>
    <row r="23" customFormat="false" ht="15" hidden="false" customHeight="true" outlineLevel="0" collapsed="false">
      <c r="A23" s="34" t="s">
        <v>1565</v>
      </c>
      <c r="B23" s="36" t="n">
        <f aca="false">SUMPRODUCT(B15:D15,B21:D21)</f>
        <v>6180.60719187727</v>
      </c>
    </row>
    <row r="24" customFormat="false" ht="15" hidden="false" customHeight="true" outlineLevel="0" collapsed="false">
      <c r="A24" s="34" t="s">
        <v>1566</v>
      </c>
      <c r="B24" s="36" t="n">
        <f aca="false">SUMPRODUCT(B7:D7,B21:D21)</f>
        <v>9936.64122137405</v>
      </c>
    </row>
    <row r="25" customFormat="false" ht="15" hidden="false" customHeight="true" outlineLevel="0" collapsed="false">
      <c r="A25" s="34" t="s">
        <v>1567</v>
      </c>
      <c r="B25" s="36" t="n">
        <f aca="false">SUMPRODUCT(B16:D16,B20:D20)</f>
        <v>41991950.8819418</v>
      </c>
      <c r="E25" s="7" t="s">
        <v>1568</v>
      </c>
    </row>
    <row r="26" customFormat="false" ht="15" hidden="false" customHeight="true" outlineLevel="0" collapsed="false">
      <c r="A26" s="34" t="s">
        <v>1569</v>
      </c>
      <c r="B26" s="36" t="n">
        <f aca="false">SUMPRODUCT(B16:D16,B18:D18)</f>
        <v>154824232.263689</v>
      </c>
    </row>
    <row r="27" customFormat="false" ht="15" hidden="false" customHeight="true" outlineLevel="0" collapsed="false">
      <c r="A27" s="34" t="s">
        <v>1570</v>
      </c>
      <c r="B27" s="36" t="n">
        <f aca="false">SUMPRODUCT(B7:D7,B20:D20)</f>
        <v>104208000</v>
      </c>
    </row>
    <row r="29" customFormat="false" ht="15" hidden="false" customHeight="true" outlineLevel="0" collapsed="false">
      <c r="A29" s="4" t="s">
        <v>1571</v>
      </c>
      <c r="B29" s="4" t="s">
        <v>1572</v>
      </c>
      <c r="C29" s="4" t="s">
        <v>1573</v>
      </c>
      <c r="D29" s="4"/>
      <c r="E29" s="4" t="s">
        <v>1574</v>
      </c>
    </row>
    <row r="30" customFormat="false" ht="15" hidden="false" customHeight="true" outlineLevel="0" collapsed="false">
      <c r="A30" s="7" t="s">
        <v>1575</v>
      </c>
      <c r="B30" s="32" t="n">
        <f aca="false">B25*Supuestos!$B$58*Supuestos!$B$67</f>
        <v>6550744337.58291</v>
      </c>
      <c r="C30" s="82" t="n">
        <f aca="false">B30/Supuestos!$B$6</f>
        <v>2001149.94626008</v>
      </c>
      <c r="E30" s="7" t="s">
        <v>1576</v>
      </c>
    </row>
    <row r="31" customFormat="false" ht="15" hidden="false" customHeight="true" outlineLevel="0" collapsed="false">
      <c r="A31" s="7" t="s">
        <v>1577</v>
      </c>
      <c r="B31" s="32" t="n">
        <f aca="false">(Supuestos!$B$71-Supuestos!$B$72)*Supuestos!$B$73*Supuestos!$B$66*Supuestos!$B$58*B23</f>
        <v>1515682662.87845</v>
      </c>
      <c r="C31" s="82" t="n">
        <f aca="false">B31/Supuestos!$B$6</f>
        <v>463017.349336166</v>
      </c>
      <c r="E31" s="7" t="s">
        <v>1578</v>
      </c>
    </row>
    <row r="32" customFormat="false" ht="15" hidden="false" customHeight="true" outlineLevel="0" collapsed="false">
      <c r="A32" s="7" t="s">
        <v>1579</v>
      </c>
      <c r="B32" s="32" t="n">
        <f aca="false">Supuestos!$B$74*(Supuestos!$B$75*Supuestos!$B$45+Supuestos!$B$35)*12</f>
        <v>212444053.05816</v>
      </c>
      <c r="C32" s="82" t="n">
        <f aca="false">B32/Supuestos!$B$6</f>
        <v>64898.3357389697</v>
      </c>
      <c r="E32" s="7" t="s">
        <v>1580</v>
      </c>
    </row>
    <row r="33" customFormat="false" ht="15" hidden="false" customHeight="true" outlineLevel="0" collapsed="false">
      <c r="A33" s="7" t="s">
        <v>1581</v>
      </c>
      <c r="B33" s="32" t="n">
        <f aca="false">Supuestos!$B$66*Supuestos!$B$58*Supuestos!$B$76*Supuestos!$B$77</f>
        <v>122616000</v>
      </c>
      <c r="C33" s="82" t="n">
        <f aca="false">B33/Supuestos!$B$6</f>
        <v>37457.2703750432</v>
      </c>
      <c r="E33" s="7" t="s">
        <v>1582</v>
      </c>
    </row>
    <row r="34" customFormat="false" ht="15" hidden="false" customHeight="true" outlineLevel="0" collapsed="false">
      <c r="A34" s="7" t="s">
        <v>1583</v>
      </c>
      <c r="B34" s="32" t="n">
        <f aca="false">Supuestos!$B$78*Supuestos!$B$79</f>
        <v>80000000</v>
      </c>
      <c r="C34" s="82" t="n">
        <f aca="false">B34/Supuestos!$B$6</f>
        <v>24438.7488582522</v>
      </c>
      <c r="E34" s="7" t="s">
        <v>1584</v>
      </c>
    </row>
    <row r="35" customFormat="false" ht="15" hidden="false" customHeight="true" outlineLevel="0" collapsed="false">
      <c r="A35" s="34" t="s">
        <v>794</v>
      </c>
      <c r="B35" s="36" t="n">
        <f aca="false">SUM(B30:B34)</f>
        <v>8481487053.51952</v>
      </c>
      <c r="C35" s="89" t="n">
        <f aca="false">B35/Supuestos!$B$6</f>
        <v>2590961.65056851</v>
      </c>
    </row>
    <row r="36" customFormat="false" ht="15" hidden="false" customHeight="true" outlineLevel="0" collapsed="false">
      <c r="A36" s="7" t="s">
        <v>1585</v>
      </c>
      <c r="B36" s="32" t="n">
        <f aca="false">B27*Supuestos!$B$58*Supuestos!$B$67</f>
        <v>16256448000</v>
      </c>
    </row>
    <row r="38" customFormat="false" ht="15" hidden="false" customHeight="true" outlineLevel="0" collapsed="false">
      <c r="A38" s="4" t="s">
        <v>1586</v>
      </c>
      <c r="B38" s="4" t="s">
        <v>1572</v>
      </c>
      <c r="C38" s="4" t="s">
        <v>1573</v>
      </c>
      <c r="D38" s="4" t="s">
        <v>79</v>
      </c>
      <c r="E38" s="4" t="s">
        <v>1574</v>
      </c>
    </row>
    <row r="39" customFormat="false" ht="15" hidden="false" customHeight="true" outlineLevel="0" collapsed="false">
      <c r="A39" s="7" t="s">
        <v>1587</v>
      </c>
      <c r="B39" s="32" t="n">
        <f aca="false">D39*SUMIFS(Cotizaciones!$J$5:$J$70,Cotizaciones!$B$5:$B$70,"Software")</f>
        <v>109889422.555</v>
      </c>
      <c r="C39" s="82" t="n">
        <f aca="false">B39/Supuestos!$B$6</f>
        <v>33569.5</v>
      </c>
      <c r="D39" s="42" t="n">
        <v>0.2</v>
      </c>
      <c r="E39" s="7" t="s">
        <v>1588</v>
      </c>
    </row>
    <row r="40" customFormat="false" ht="15" hidden="false" customHeight="true" outlineLevel="0" collapsed="false">
      <c r="A40" s="7" t="s">
        <v>1589</v>
      </c>
      <c r="B40" s="32" t="n">
        <f aca="false">3*D40*Supuestos!$B$6</f>
        <v>49102350</v>
      </c>
      <c r="C40" s="82" t="n">
        <f aca="false">B40/Supuestos!$B$6</f>
        <v>15000</v>
      </c>
      <c r="D40" s="67" t="n">
        <v>5000</v>
      </c>
      <c r="E40" s="7" t="s">
        <v>1590</v>
      </c>
    </row>
    <row r="41" customFormat="false" ht="15" hidden="false" customHeight="true" outlineLevel="0" collapsed="false">
      <c r="A41" s="7" t="s">
        <v>1591</v>
      </c>
      <c r="B41" s="32" t="n">
        <f aca="false">D41*(SUMIFS(Cotizaciones!$J$5:$J$70,Cotizaciones!$B$5:$B$70,"Instrumentación")+SUMIFS(Cotizaciones!$J$5:$J$70,Cotizaciones!$B$5:$B$70,"Inspección"))</f>
        <v>31694515.5847637</v>
      </c>
      <c r="C41" s="82" t="n">
        <f aca="false">B41/Supuestos!$B$6</f>
        <v>9682.178832</v>
      </c>
      <c r="D41" s="42" t="n">
        <v>0.03</v>
      </c>
      <c r="E41" s="7" t="s">
        <v>1592</v>
      </c>
    </row>
    <row r="42" customFormat="false" ht="15" hidden="false" customHeight="true" outlineLevel="0" collapsed="false">
      <c r="A42" s="7" t="s">
        <v>1593</v>
      </c>
      <c r="B42" s="32" t="n">
        <f aca="false">D42*(Cotizaciones!$J$71-SUMIFS(Cotizaciones!$J$5:$J$70,Cotizaciones!$B$5:$B$70,"Software")-SUMIFS(Cotizaciones!$J$5:$J$70,Cotizaciones!$B$5:$B$70,"Obras y montaje locales"))</f>
        <v>59354164.6323819</v>
      </c>
      <c r="C42" s="82" t="n">
        <f aca="false">B42/Supuestos!$B$6</f>
        <v>18131.7690392767</v>
      </c>
      <c r="D42" s="42" t="n">
        <v>0.015</v>
      </c>
      <c r="E42" s="7" t="s">
        <v>1594</v>
      </c>
    </row>
    <row r="43" customFormat="false" ht="15" hidden="false" customHeight="true" outlineLevel="0" collapsed="false">
      <c r="A43" s="7" t="s">
        <v>1595</v>
      </c>
      <c r="B43" s="32" t="n">
        <f aca="false">D43*12</f>
        <v>180000000</v>
      </c>
      <c r="C43" s="82" t="n">
        <f aca="false">B43/Supuestos!$B$6</f>
        <v>54987.1849310675</v>
      </c>
      <c r="D43" s="30" t="n">
        <v>15000000</v>
      </c>
      <c r="E43" s="7" t="s">
        <v>1596</v>
      </c>
    </row>
    <row r="44" customFormat="false" ht="15" hidden="false" customHeight="true" outlineLevel="0" collapsed="false">
      <c r="A44" s="7" t="s">
        <v>1597</v>
      </c>
      <c r="B44" s="32" t="n">
        <f aca="false">D44*16*Supuestos!$B$58*750</f>
        <v>74880000</v>
      </c>
      <c r="C44" s="82" t="n">
        <f aca="false">B44/Supuestos!$B$6</f>
        <v>22874.6689313241</v>
      </c>
      <c r="D44" s="90" t="n">
        <v>20</v>
      </c>
      <c r="E44" s="7" t="s">
        <v>1598</v>
      </c>
    </row>
    <row r="45" customFormat="false" ht="15" hidden="false" customHeight="true" outlineLevel="0" collapsed="false">
      <c r="A45" s="7" t="s">
        <v>1599</v>
      </c>
      <c r="B45" s="32" t="n">
        <f aca="false">D45*Supuestos!$B$44*12</f>
        <v>83324400</v>
      </c>
      <c r="C45" s="82" t="n">
        <f aca="false">B45/Supuestos!$B$6</f>
        <v>25454.3010670569</v>
      </c>
      <c r="D45" s="30" t="n">
        <v>5000000</v>
      </c>
      <c r="E45" s="7" t="s">
        <v>1600</v>
      </c>
    </row>
    <row r="46" customFormat="false" ht="15" hidden="false" customHeight="true" outlineLevel="0" collapsed="false">
      <c r="A46" s="34" t="s">
        <v>1601</v>
      </c>
      <c r="B46" s="36" t="n">
        <f aca="false">SUM(B39:B45)</f>
        <v>588244852.772146</v>
      </c>
      <c r="C46" s="89" t="n">
        <f aca="false">B46/Supuestos!$B$6</f>
        <v>179699.602800725</v>
      </c>
    </row>
    <row r="48" customFormat="false" ht="15" hidden="false" customHeight="true" outlineLevel="0" collapsed="false">
      <c r="A48" s="12" t="s">
        <v>1602</v>
      </c>
      <c r="B48" s="13"/>
      <c r="C48" s="13"/>
      <c r="D48" s="13"/>
      <c r="E48" s="13"/>
    </row>
    <row r="49" customFormat="false" ht="15" hidden="false" customHeight="true" outlineLevel="0" collapsed="false">
      <c r="A49" s="7" t="s">
        <v>1603</v>
      </c>
      <c r="B49" s="32" t="n">
        <f aca="false">Supuestos!$B$81*B26*Supuestos!$B$82</f>
        <v>928945393.582136</v>
      </c>
      <c r="E49" s="7" t="s">
        <v>1604</v>
      </c>
    </row>
    <row r="50" customFormat="false" ht="15" hidden="false" customHeight="true" outlineLevel="0" collapsed="false">
      <c r="A50" s="7" t="s">
        <v>1605</v>
      </c>
      <c r="B50" s="33" t="n">
        <f aca="false">Supuestos!$B$83</f>
        <v>150000000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9" min="2" style="1" width="17"/>
  </cols>
  <sheetData>
    <row r="1" customFormat="false" ht="17.25" hidden="false" customHeight="true" outlineLevel="0" collapsed="false">
      <c r="A1" s="2" t="s">
        <v>1606</v>
      </c>
    </row>
    <row r="2" customFormat="false" ht="15" hidden="false" customHeight="true" outlineLevel="0" collapsed="false">
      <c r="A2" s="3" t="s">
        <v>1607</v>
      </c>
    </row>
    <row r="4" customFormat="false" ht="15" hidden="false" customHeight="true" outlineLevel="0" collapsed="false">
      <c r="A4" s="4" t="s">
        <v>308</v>
      </c>
      <c r="B4" s="4" t="s">
        <v>1608</v>
      </c>
      <c r="C4" s="4" t="s">
        <v>1609</v>
      </c>
      <c r="D4" s="4" t="s">
        <v>1610</v>
      </c>
      <c r="E4" s="4" t="s">
        <v>1611</v>
      </c>
      <c r="F4" s="4" t="s">
        <v>1612</v>
      </c>
      <c r="G4" s="4" t="s">
        <v>1613</v>
      </c>
      <c r="H4" s="4" t="s">
        <v>1614</v>
      </c>
      <c r="I4" s="4" t="s">
        <v>1615</v>
      </c>
    </row>
    <row r="5" customFormat="false" ht="15" hidden="false" customHeight="true" outlineLevel="0" collapsed="false">
      <c r="A5" s="7" t="s">
        <v>1616</v>
      </c>
      <c r="B5" s="23" t="n">
        <v>0</v>
      </c>
      <c r="C5" s="23" t="n">
        <v>1</v>
      </c>
      <c r="D5" s="23" t="n">
        <v>2</v>
      </c>
      <c r="E5" s="23" t="n">
        <v>3</v>
      </c>
      <c r="F5" s="23" t="n">
        <v>4</v>
      </c>
      <c r="G5" s="23" t="n">
        <v>5</v>
      </c>
      <c r="H5" s="23" t="n">
        <v>6</v>
      </c>
      <c r="I5" s="23" t="n">
        <v>7</v>
      </c>
    </row>
    <row r="6" customFormat="false" ht="15" hidden="false" customHeight="true" outlineLevel="0" collapsed="false">
      <c r="A6" s="7" t="s">
        <v>1617</v>
      </c>
      <c r="B6" s="24" t="n">
        <f aca="false">(1+Supuestos!$B$7)^B5</f>
        <v>1</v>
      </c>
      <c r="C6" s="24" t="n">
        <f aca="false">(1+Supuestos!$B$7)^C5</f>
        <v>1.04</v>
      </c>
      <c r="D6" s="24" t="n">
        <f aca="false">(1+Supuestos!$B$7)^D5</f>
        <v>1.0816</v>
      </c>
      <c r="E6" s="24" t="n">
        <f aca="false">(1+Supuestos!$B$7)^E5</f>
        <v>1.124864</v>
      </c>
      <c r="F6" s="24" t="n">
        <f aca="false">(1+Supuestos!$B$7)^F5</f>
        <v>1.16985856</v>
      </c>
      <c r="G6" s="24" t="n">
        <f aca="false">(1+Supuestos!$B$7)^G5</f>
        <v>1.2166529024</v>
      </c>
      <c r="H6" s="24" t="n">
        <f aca="false">(1+Supuestos!$B$7)^H5</f>
        <v>1.265319018496</v>
      </c>
      <c r="I6" s="24" t="n">
        <f aca="false">(1+Supuestos!$B$7)^I5</f>
        <v>1.31593177923584</v>
      </c>
    </row>
    <row r="7" customFormat="false" ht="15" hidden="false" customHeight="true" outlineLevel="0" collapsed="false">
      <c r="A7" s="7" t="s">
        <v>1618</v>
      </c>
      <c r="B7" s="16" t="n">
        <v>0</v>
      </c>
      <c r="C7" s="9" t="n">
        <f aca="false">Supuestos!$B$68</f>
        <v>0.6</v>
      </c>
      <c r="D7" s="16" t="n">
        <v>1</v>
      </c>
      <c r="E7" s="16" t="n">
        <v>1</v>
      </c>
      <c r="F7" s="16" t="n">
        <v>1</v>
      </c>
      <c r="G7" s="16" t="n">
        <v>1</v>
      </c>
      <c r="H7" s="16" t="n">
        <v>1</v>
      </c>
      <c r="I7" s="16" t="n">
        <v>1</v>
      </c>
    </row>
    <row r="8" customFormat="false" ht="15" hidden="false" customHeight="true" outlineLevel="0" collapsed="false">
      <c r="A8" s="7" t="s">
        <v>1619</v>
      </c>
      <c r="B8" s="25" t="n">
        <f aca="false">Beneficios_OPEX!$B$30*B6*B7</f>
        <v>0</v>
      </c>
      <c r="C8" s="25" t="n">
        <f aca="false">Beneficios_OPEX!$B$30*C6*C7</f>
        <v>4087664466.65174</v>
      </c>
      <c r="D8" s="25" t="n">
        <f aca="false">Beneficios_OPEX!$B$30*D6*D7</f>
        <v>7085285075.52968</v>
      </c>
      <c r="E8" s="25" t="n">
        <f aca="false">Beneficios_OPEX!$B$30*E6*E7</f>
        <v>7368696478.55087</v>
      </c>
      <c r="F8" s="25" t="n">
        <f aca="false">Beneficios_OPEX!$B$30*F6*F7</f>
        <v>7663444337.6929</v>
      </c>
      <c r="G8" s="25" t="n">
        <f aca="false">Beneficios_OPEX!$B$30*G6*G7</f>
        <v>7969982111.20062</v>
      </c>
      <c r="H8" s="25" t="n">
        <f aca="false">Beneficios_OPEX!$B$30*H6*H7</f>
        <v>8288781395.64864</v>
      </c>
      <c r="I8" s="25" t="n">
        <f aca="false">Beneficios_OPEX!$B$30*I6*I7</f>
        <v>8620332651.47459</v>
      </c>
    </row>
    <row r="9" customFormat="false" ht="15" hidden="false" customHeight="true" outlineLevel="0" collapsed="false">
      <c r="A9" s="7" t="s">
        <v>784</v>
      </c>
      <c r="B9" s="25" t="n">
        <f aca="false">Beneficios_OPEX!$B$31*B6*B7</f>
        <v>0</v>
      </c>
      <c r="C9" s="25" t="n">
        <f aca="false">Beneficios_OPEX!$B$31*C6*C7</f>
        <v>945785981.636151</v>
      </c>
      <c r="D9" s="25" t="n">
        <f aca="false">Beneficios_OPEX!$B$31*D6*D7</f>
        <v>1639362368.16933</v>
      </c>
      <c r="E9" s="25" t="n">
        <f aca="false">Beneficios_OPEX!$B$31*E6*E7</f>
        <v>1704936862.8961</v>
      </c>
      <c r="F9" s="25" t="n">
        <f aca="false">Beneficios_OPEX!$B$31*F6*F7</f>
        <v>1773134337.41195</v>
      </c>
      <c r="G9" s="25" t="n">
        <f aca="false">Beneficios_OPEX!$B$31*G6*G7</f>
        <v>1844059710.90842</v>
      </c>
      <c r="H9" s="25" t="n">
        <f aca="false">Beneficios_OPEX!$B$31*H6*H7</f>
        <v>1917822099.34476</v>
      </c>
      <c r="I9" s="25" t="n">
        <f aca="false">Beneficios_OPEX!$B$31*I6*I7</f>
        <v>1994534983.31855</v>
      </c>
    </row>
    <row r="10" customFormat="false" ht="15" hidden="false" customHeight="true" outlineLevel="0" collapsed="false">
      <c r="A10" s="7" t="s">
        <v>786</v>
      </c>
      <c r="B10" s="25" t="n">
        <f aca="false">Beneficios_OPEX!$B$32*B6*B7</f>
        <v>0</v>
      </c>
      <c r="C10" s="25" t="n">
        <f aca="false">Beneficios_OPEX!$B$32*C6*C7</f>
        <v>132565089.108292</v>
      </c>
      <c r="D10" s="25" t="n">
        <f aca="false">Beneficios_OPEX!$B$32*D6*D7</f>
        <v>229779487.787706</v>
      </c>
      <c r="E10" s="25" t="n">
        <f aca="false">Beneficios_OPEX!$B$32*E6*E7</f>
        <v>238970667.299214</v>
      </c>
      <c r="F10" s="25" t="n">
        <f aca="false">Beneficios_OPEX!$B$32*F6*F7</f>
        <v>248529493.991183</v>
      </c>
      <c r="G10" s="25" t="n">
        <f aca="false">Beneficios_OPEX!$B$32*G6*G7</f>
        <v>258470673.75083</v>
      </c>
      <c r="H10" s="25" t="n">
        <f aca="false">Beneficios_OPEX!$B$32*H6*H7</f>
        <v>268809500.700863</v>
      </c>
      <c r="I10" s="25" t="n">
        <f aca="false">Beneficios_OPEX!$B$32*I6*I7</f>
        <v>279561880.728898</v>
      </c>
    </row>
    <row r="11" customFormat="false" ht="15" hidden="false" customHeight="true" outlineLevel="0" collapsed="false">
      <c r="A11" s="7" t="s">
        <v>1620</v>
      </c>
      <c r="B11" s="25" t="n">
        <f aca="false">Beneficios_OPEX!$B$33*B6*B7</f>
        <v>0</v>
      </c>
      <c r="C11" s="25" t="n">
        <f aca="false">Beneficios_OPEX!$B$33*C6*C7</f>
        <v>76512384</v>
      </c>
      <c r="D11" s="25" t="n">
        <f aca="false">Beneficios_OPEX!$B$33*D6*D7</f>
        <v>132621465.6</v>
      </c>
      <c r="E11" s="25" t="n">
        <f aca="false">Beneficios_OPEX!$B$33*E6*E7</f>
        <v>137926324.224</v>
      </c>
      <c r="F11" s="25" t="n">
        <f aca="false">Beneficios_OPEX!$B$33*F6*F7</f>
        <v>143443377.19296</v>
      </c>
      <c r="G11" s="25" t="n">
        <f aca="false">Beneficios_OPEX!$B$33*G6*G7</f>
        <v>149181112.280678</v>
      </c>
      <c r="H11" s="25" t="n">
        <f aca="false">Beneficios_OPEX!$B$33*H6*H7</f>
        <v>155148356.771906</v>
      </c>
      <c r="I11" s="25" t="n">
        <f aca="false">Beneficios_OPEX!$B$33*I6*I7</f>
        <v>161354291.042782</v>
      </c>
    </row>
    <row r="12" customFormat="false" ht="15" hidden="false" customHeight="true" outlineLevel="0" collapsed="false">
      <c r="A12" s="7" t="s">
        <v>1621</v>
      </c>
      <c r="B12" s="25" t="n">
        <f aca="false">Beneficios_OPEX!$B$34*B6*B7</f>
        <v>0</v>
      </c>
      <c r="C12" s="25" t="n">
        <f aca="false">Beneficios_OPEX!$B$34*C6*C7</f>
        <v>49920000</v>
      </c>
      <c r="D12" s="25" t="n">
        <f aca="false">Beneficios_OPEX!$B$34*D6*D7</f>
        <v>86528000</v>
      </c>
      <c r="E12" s="25" t="n">
        <f aca="false">Beneficios_OPEX!$B$34*E6*E7</f>
        <v>89989120</v>
      </c>
      <c r="F12" s="25" t="n">
        <f aca="false">Beneficios_OPEX!$B$34*F6*F7</f>
        <v>93588684.8</v>
      </c>
      <c r="G12" s="25" t="n">
        <f aca="false">Beneficios_OPEX!$B$34*G6*G7</f>
        <v>97332232.192</v>
      </c>
      <c r="H12" s="25" t="n">
        <f aca="false">Beneficios_OPEX!$B$34*H6*H7</f>
        <v>101225521.47968</v>
      </c>
      <c r="I12" s="25" t="n">
        <f aca="false">Beneficios_OPEX!$B$34*I6*I7</f>
        <v>105274542.338867</v>
      </c>
    </row>
    <row r="13" customFormat="false" ht="15" hidden="false" customHeight="true" outlineLevel="0" collapsed="false">
      <c r="A13" s="34" t="s">
        <v>1622</v>
      </c>
      <c r="B13" s="91" t="n">
        <f aca="false">SUM(B8:B12)</f>
        <v>0</v>
      </c>
      <c r="C13" s="91" t="n">
        <f aca="false">SUM(C8:C12)</f>
        <v>5292447921.39618</v>
      </c>
      <c r="D13" s="91" t="n">
        <f aca="false">SUM(D8:D12)</f>
        <v>9173576397.08671</v>
      </c>
      <c r="E13" s="91" t="n">
        <f aca="false">SUM(E8:E12)</f>
        <v>9540519452.97018</v>
      </c>
      <c r="F13" s="91" t="n">
        <f aca="false">SUM(F8:F12)</f>
        <v>9922140231.08899</v>
      </c>
      <c r="G13" s="91" t="n">
        <f aca="false">SUM(G8:G12)</f>
        <v>10319025840.3325</v>
      </c>
      <c r="H13" s="91" t="n">
        <f aca="false">SUM(H8:H12)</f>
        <v>10731786873.9459</v>
      </c>
      <c r="I13" s="91" t="n">
        <f aca="false">SUM(I8:I12)</f>
        <v>11161058348.9037</v>
      </c>
    </row>
    <row r="14" customFormat="false" ht="15" hidden="false" customHeight="true" outlineLevel="0" collapsed="false">
      <c r="A14" s="7" t="s">
        <v>1623</v>
      </c>
      <c r="B14" s="25" t="n">
        <v>0</v>
      </c>
      <c r="C14" s="25" t="n">
        <f aca="false">-Beneficios_OPEX!$B$46*C6</f>
        <v>-611774646.883031</v>
      </c>
      <c r="D14" s="25" t="n">
        <f aca="false">-Beneficios_OPEX!$B$46*D6</f>
        <v>-636245632.758353</v>
      </c>
      <c r="E14" s="25" t="n">
        <f aca="false">-Beneficios_OPEX!$B$46*E6</f>
        <v>-661695458.068687</v>
      </c>
      <c r="F14" s="25" t="n">
        <f aca="false">-Beneficios_OPEX!$B$46*F6</f>
        <v>-688163276.391434</v>
      </c>
      <c r="G14" s="25" t="n">
        <f aca="false">-Beneficios_OPEX!$B$46*G6</f>
        <v>-715689807.447092</v>
      </c>
      <c r="H14" s="25" t="n">
        <f aca="false">-Beneficios_OPEX!$B$46*H6</f>
        <v>-744317399.744975</v>
      </c>
      <c r="I14" s="25" t="n">
        <f aca="false">-Beneficios_OPEX!$B$46*I6</f>
        <v>-774090095.734774</v>
      </c>
    </row>
    <row r="15" customFormat="false" ht="15" hidden="false" customHeight="true" outlineLevel="0" collapsed="false">
      <c r="A15" s="34" t="s">
        <v>1624</v>
      </c>
      <c r="B15" s="91" t="n">
        <f aca="false">B13+B14</f>
        <v>0</v>
      </c>
      <c r="C15" s="91" t="n">
        <f aca="false">C13+C14</f>
        <v>4680673274.51315</v>
      </c>
      <c r="D15" s="91" t="n">
        <f aca="false">D13+D14</f>
        <v>8537330764.32836</v>
      </c>
      <c r="E15" s="91" t="n">
        <f aca="false">E13+E14</f>
        <v>8878823994.9015</v>
      </c>
      <c r="F15" s="91" t="n">
        <f aca="false">F13+F14</f>
        <v>9233976954.69756</v>
      </c>
      <c r="G15" s="91" t="n">
        <f aca="false">G13+G14</f>
        <v>9603336032.88546</v>
      </c>
      <c r="H15" s="91" t="n">
        <f aca="false">H13+H14</f>
        <v>9987469474.20088</v>
      </c>
      <c r="I15" s="91" t="n">
        <f aca="false">I13+I14</f>
        <v>10386968253.1689</v>
      </c>
    </row>
    <row r="16" customFormat="false" ht="15" hidden="false" customHeight="true" outlineLevel="0" collapsed="false">
      <c r="A16" s="7" t="s">
        <v>1625</v>
      </c>
      <c r="B16" s="25" t="n">
        <v>0</v>
      </c>
      <c r="C16" s="25" t="n">
        <f aca="false">-IF(C5&lt;=Supuestos!$B$85,Precio_Kuajo!$C$28/Supuestos!$B$85,0)</f>
        <v>-722265438.20779</v>
      </c>
      <c r="D16" s="25" t="n">
        <f aca="false">-IF(D5&lt;=Supuestos!$B$85,Precio_Kuajo!$C$28/Supuestos!$B$85,0)</f>
        <v>-722265438.20779</v>
      </c>
      <c r="E16" s="25" t="n">
        <f aca="false">-IF(E5&lt;=Supuestos!$B$85,Precio_Kuajo!$C$28/Supuestos!$B$85,0)</f>
        <v>-722265438.20779</v>
      </c>
      <c r="F16" s="25" t="n">
        <f aca="false">-IF(F5&lt;=Supuestos!$B$85,Precio_Kuajo!$C$28/Supuestos!$B$85,0)</f>
        <v>-722265438.20779</v>
      </c>
      <c r="G16" s="25" t="n">
        <f aca="false">-IF(G5&lt;=Supuestos!$B$85,Precio_Kuajo!$C$28/Supuestos!$B$85,0)</f>
        <v>-722265438.20779</v>
      </c>
      <c r="H16" s="25" t="n">
        <f aca="false">-IF(H5&lt;=Supuestos!$B$85,Precio_Kuajo!$C$28/Supuestos!$B$85,0)</f>
        <v>-722265438.20779</v>
      </c>
      <c r="I16" s="25" t="n">
        <f aca="false">-IF(I5&lt;=Supuestos!$B$85,Precio_Kuajo!$C$28/Supuestos!$B$85,0)</f>
        <v>-722265438.20779</v>
      </c>
    </row>
    <row r="17" customFormat="false" ht="15" hidden="false" customHeight="true" outlineLevel="0" collapsed="false">
      <c r="A17" s="7" t="s">
        <v>1626</v>
      </c>
      <c r="B17" s="25" t="n">
        <v>0</v>
      </c>
      <c r="C17" s="25" t="n">
        <f aca="false">-IF(C5&lt;=Supuestos!$B$86,Precio_Kuajo!$C$27/Supuestos!$B$86,0)</f>
        <v>-260652869.17627</v>
      </c>
      <c r="D17" s="25" t="n">
        <f aca="false">-IF(D5&lt;=Supuestos!$B$86,Precio_Kuajo!$C$27/Supuestos!$B$86,0)</f>
        <v>-260652869.17627</v>
      </c>
      <c r="E17" s="25" t="n">
        <f aca="false">-IF(E5&lt;=Supuestos!$B$86,Precio_Kuajo!$C$27/Supuestos!$B$86,0)</f>
        <v>-260652869.17627</v>
      </c>
      <c r="F17" s="25" t="n">
        <f aca="false">-IF(F5&lt;=Supuestos!$B$86,Precio_Kuajo!$C$27/Supuestos!$B$86,0)</f>
        <v>-260652869.17627</v>
      </c>
      <c r="G17" s="25" t="n">
        <f aca="false">-IF(G5&lt;=Supuestos!$B$86,Precio_Kuajo!$C$27/Supuestos!$B$86,0)</f>
        <v>-260652869.17627</v>
      </c>
      <c r="H17" s="25" t="n">
        <f aca="false">-IF(H5&lt;=Supuestos!$B$86,Precio_Kuajo!$C$27/Supuestos!$B$86,0)</f>
        <v>-0</v>
      </c>
      <c r="I17" s="25" t="n">
        <f aca="false">-IF(I5&lt;=Supuestos!$B$86,Precio_Kuajo!$C$27/Supuestos!$B$86,0)</f>
        <v>-0</v>
      </c>
    </row>
    <row r="18" customFormat="false" ht="15" hidden="false" customHeight="true" outlineLevel="0" collapsed="false">
      <c r="A18" s="7" t="s">
        <v>1627</v>
      </c>
      <c r="B18" s="25" t="n">
        <f aca="false">B15+B16+B17</f>
        <v>0</v>
      </c>
      <c r="C18" s="25" t="n">
        <f aca="false">C15+C16+C17</f>
        <v>3697754967.12909</v>
      </c>
      <c r="D18" s="25" t="n">
        <f aca="false">D15+D16+D17</f>
        <v>7554412456.9443</v>
      </c>
      <c r="E18" s="25" t="n">
        <f aca="false">E15+E16+E17</f>
        <v>7895905687.51744</v>
      </c>
      <c r="F18" s="25" t="n">
        <f aca="false">F15+F16+F17</f>
        <v>8251058647.3135</v>
      </c>
      <c r="G18" s="25" t="n">
        <f aca="false">G15+G16+G17</f>
        <v>8620417725.5014</v>
      </c>
      <c r="H18" s="25" t="n">
        <f aca="false">H15+H16+H17</f>
        <v>9265204035.99309</v>
      </c>
      <c r="I18" s="25" t="n">
        <f aca="false">I15+I16+I17</f>
        <v>9664702814.96112</v>
      </c>
    </row>
    <row r="19" customFormat="false" ht="15" hidden="false" customHeight="true" outlineLevel="0" collapsed="false">
      <c r="A19" s="7" t="s">
        <v>1628</v>
      </c>
      <c r="B19" s="25" t="n">
        <f aca="false">-B18*Supuestos!$B$10</f>
        <v>-0</v>
      </c>
      <c r="C19" s="25" t="n">
        <f aca="false">-C18*Supuestos!$B$10</f>
        <v>-1294214238.49518</v>
      </c>
      <c r="D19" s="25" t="n">
        <f aca="false">-D18*Supuestos!$B$10</f>
        <v>-2644044359.93051</v>
      </c>
      <c r="E19" s="25" t="n">
        <f aca="false">-E18*Supuestos!$B$10</f>
        <v>-2763566990.6311</v>
      </c>
      <c r="F19" s="25" t="n">
        <f aca="false">-F18*Supuestos!$B$10</f>
        <v>-2887870526.55972</v>
      </c>
      <c r="G19" s="25" t="n">
        <f aca="false">-G18*Supuestos!$B$10</f>
        <v>-3017146203.92549</v>
      </c>
      <c r="H19" s="25" t="n">
        <f aca="false">-H18*Supuestos!$B$10</f>
        <v>-3242821412.59758</v>
      </c>
      <c r="I19" s="25" t="n">
        <f aca="false">-I18*Supuestos!$B$10</f>
        <v>-3382645985.23639</v>
      </c>
    </row>
    <row r="20" customFormat="false" ht="15" hidden="false" customHeight="true" outlineLevel="0" collapsed="false">
      <c r="A20" s="7" t="s">
        <v>1629</v>
      </c>
      <c r="B20" s="25" t="n">
        <f aca="false">B18+B19</f>
        <v>0</v>
      </c>
      <c r="C20" s="25" t="n">
        <f aca="false">C18+C19</f>
        <v>2403540728.63391</v>
      </c>
      <c r="D20" s="25" t="n">
        <f aca="false">D18+D19</f>
        <v>4910368097.0138</v>
      </c>
      <c r="E20" s="25" t="n">
        <f aca="false">E18+E19</f>
        <v>5132338696.88633</v>
      </c>
      <c r="F20" s="25" t="n">
        <f aca="false">F18+F19</f>
        <v>5363188120.75377</v>
      </c>
      <c r="G20" s="25" t="n">
        <f aca="false">G18+G19</f>
        <v>5603271521.57591</v>
      </c>
      <c r="H20" s="25" t="n">
        <f aca="false">H18+H19</f>
        <v>6022382623.39551</v>
      </c>
      <c r="I20" s="25" t="n">
        <f aca="false">I18+I19</f>
        <v>6282056829.72473</v>
      </c>
    </row>
    <row r="21" customFormat="false" ht="15" hidden="false" customHeight="true" outlineLevel="0" collapsed="false">
      <c r="A21" s="7" t="s">
        <v>1630</v>
      </c>
      <c r="B21" s="25" t="n">
        <f aca="false">-(B16+B17)</f>
        <v>-0</v>
      </c>
      <c r="C21" s="25" t="n">
        <f aca="false">-(C16+C17)</f>
        <v>982918307.38406</v>
      </c>
      <c r="D21" s="25" t="n">
        <f aca="false">-(D16+D17)</f>
        <v>982918307.38406</v>
      </c>
      <c r="E21" s="25" t="n">
        <f aca="false">-(E16+E17)</f>
        <v>982918307.38406</v>
      </c>
      <c r="F21" s="25" t="n">
        <f aca="false">-(F16+F17)</f>
        <v>982918307.38406</v>
      </c>
      <c r="G21" s="25" t="n">
        <f aca="false">-(G16+G17)</f>
        <v>982918307.38406</v>
      </c>
      <c r="H21" s="25" t="n">
        <f aca="false">-(H16+H17)</f>
        <v>722265438.20779</v>
      </c>
      <c r="I21" s="25" t="n">
        <f aca="false">-(I16+I17)</f>
        <v>722265438.20779</v>
      </c>
    </row>
    <row r="22" customFormat="false" ht="15" hidden="false" customHeight="true" outlineLevel="0" collapsed="false">
      <c r="A22" s="7" t="s">
        <v>1631</v>
      </c>
      <c r="B22" s="25" t="n">
        <f aca="false">-Precio_Kuajo!$C$19</f>
        <v>-8525918727.95925</v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</row>
    <row r="23" customFormat="false" ht="15" hidden="false" customHeight="true" outlineLevel="0" collapsed="false">
      <c r="A23" s="7" t="s">
        <v>1632</v>
      </c>
      <c r="B23" s="25" t="n">
        <f aca="false">-(Beneficios_OPEX!$B$49+Beneficios_OPEX!$B$50)*(1-Supuestos!$B$10)</f>
        <v>-701314505.828388</v>
      </c>
      <c r="C23" s="25" t="n">
        <v>0</v>
      </c>
      <c r="D23" s="25" t="n">
        <v>0</v>
      </c>
      <c r="E23" s="25" t="n">
        <v>0</v>
      </c>
      <c r="F23" s="25" t="n">
        <v>0</v>
      </c>
      <c r="G23" s="25" t="n">
        <v>0</v>
      </c>
      <c r="H23" s="25" t="n">
        <v>0</v>
      </c>
      <c r="I23" s="25" t="n">
        <v>0</v>
      </c>
    </row>
    <row r="24" customFormat="false" ht="15" hidden="false" customHeight="true" outlineLevel="0" collapsed="false">
      <c r="A24" s="7" t="s">
        <v>1633</v>
      </c>
      <c r="B24" s="25" t="n">
        <v>0</v>
      </c>
      <c r="C24" s="25" t="n">
        <f aca="false">Beneficios_OPEX!$B$36*C6*C7*Supuestos!$B$80/360</f>
        <v>845335296</v>
      </c>
      <c r="D24" s="25" t="n">
        <f aca="false">Beneficios_OPEX!$B$36*D6*D7*Supuestos!$B$80/360</f>
        <v>1465247846.4</v>
      </c>
      <c r="E24" s="25" t="n">
        <f aca="false">Beneficios_OPEX!$B$36*E6*E7*Supuestos!$B$80/360</f>
        <v>1523857760.256</v>
      </c>
      <c r="F24" s="25" t="n">
        <f aca="false">Beneficios_OPEX!$B$36*F6*F7*Supuestos!$B$80/360</f>
        <v>1584812070.66624</v>
      </c>
      <c r="G24" s="25" t="n">
        <f aca="false">Beneficios_OPEX!$B$36*G6*G7*Supuestos!$B$80/360</f>
        <v>1648204553.49289</v>
      </c>
      <c r="H24" s="25" t="n">
        <f aca="false">Beneficios_OPEX!$B$36*H6*H7*Supuestos!$B$80/360</f>
        <v>1714132735.63261</v>
      </c>
      <c r="I24" s="25" t="n">
        <v>0</v>
      </c>
    </row>
    <row r="25" customFormat="false" ht="15" hidden="false" customHeight="true" outlineLevel="0" collapsed="false">
      <c r="A25" s="7" t="s">
        <v>1634</v>
      </c>
      <c r="B25" s="25" t="n">
        <v>0</v>
      </c>
      <c r="C25" s="25" t="n">
        <f aca="false">-(C24-B24)</f>
        <v>-845335296</v>
      </c>
      <c r="D25" s="25" t="n">
        <f aca="false">-(D24-C24)</f>
        <v>-619912550.4</v>
      </c>
      <c r="E25" s="25" t="n">
        <f aca="false">-(E24-D24)</f>
        <v>-58609913.856</v>
      </c>
      <c r="F25" s="25" t="n">
        <f aca="false">-(F24-E24)</f>
        <v>-60954310.4102402</v>
      </c>
      <c r="G25" s="25" t="n">
        <f aca="false">-(G24-F24)</f>
        <v>-63392482.8266492</v>
      </c>
      <c r="H25" s="25" t="n">
        <f aca="false">-(H24-G24)</f>
        <v>-65928182.1397159</v>
      </c>
      <c r="I25" s="25" t="n">
        <f aca="false">-(I24-H24)</f>
        <v>1714132735.63261</v>
      </c>
    </row>
    <row r="26" customFormat="false" ht="15" hidden="false" customHeight="true" outlineLevel="0" collapsed="false">
      <c r="A26" s="34" t="s">
        <v>1635</v>
      </c>
      <c r="B26" s="91" t="n">
        <f aca="false">B20+B21+B22+B23+B25</f>
        <v>-9227233233.78764</v>
      </c>
      <c r="C26" s="91" t="n">
        <f aca="false">C20+C21+C22+C23+C25</f>
        <v>2541123740.01797</v>
      </c>
      <c r="D26" s="91" t="n">
        <f aca="false">D20+D21+D22+D23+D25</f>
        <v>5273373853.99786</v>
      </c>
      <c r="E26" s="91" t="n">
        <f aca="false">E20+E21+E22+E23+E25</f>
        <v>6056647090.41439</v>
      </c>
      <c r="F26" s="91" t="n">
        <f aca="false">F20+F21+F22+F23+F25</f>
        <v>6285152117.72759</v>
      </c>
      <c r="G26" s="91" t="n">
        <f aca="false">G20+G21+G22+G23+G25</f>
        <v>6522797346.13332</v>
      </c>
      <c r="H26" s="91" t="n">
        <f aca="false">H20+H21+H22+H23+H25</f>
        <v>6678719879.46358</v>
      </c>
      <c r="I26" s="91" t="n">
        <f aca="false">I20+I21+I22+I23+I25</f>
        <v>8718455003.56513</v>
      </c>
    </row>
    <row r="27" customFormat="false" ht="15" hidden="false" customHeight="true" outlineLevel="0" collapsed="false">
      <c r="A27" s="7" t="s">
        <v>1636</v>
      </c>
      <c r="B27" s="25" t="n">
        <f aca="false">B26</f>
        <v>-9227233233.78764</v>
      </c>
      <c r="C27" s="25" t="n">
        <f aca="false">B27+C26</f>
        <v>-6686109493.76967</v>
      </c>
      <c r="D27" s="25" t="n">
        <f aca="false">C27+D26</f>
        <v>-1412735639.77181</v>
      </c>
      <c r="E27" s="25" t="n">
        <f aca="false">D27+E26</f>
        <v>4643911450.64258</v>
      </c>
      <c r="F27" s="25" t="n">
        <f aca="false">E27+F26</f>
        <v>10929063568.3702</v>
      </c>
      <c r="G27" s="25" t="n">
        <f aca="false">F27+G26</f>
        <v>17451860914.5035</v>
      </c>
      <c r="H27" s="25" t="n">
        <f aca="false">G27+H26</f>
        <v>24130580793.9671</v>
      </c>
      <c r="I27" s="25" t="n">
        <f aca="false">H27+I26</f>
        <v>32849035797.5322</v>
      </c>
    </row>
    <row r="28" customFormat="false" ht="15" hidden="false" customHeight="true" outlineLevel="0" collapsed="false">
      <c r="A28" s="7" t="s">
        <v>1637</v>
      </c>
      <c r="B28" s="25" t="n">
        <f aca="false">B26/(1+Supuestos!$B$31)^B5</f>
        <v>-9227233233.78764</v>
      </c>
      <c r="C28" s="25" t="n">
        <f aca="false">C26/(1+Supuestos!$B$31)^C5</f>
        <v>2234320136.22032</v>
      </c>
      <c r="D28" s="25" t="n">
        <f aca="false">D26/(1+Supuestos!$B$31)^D5</f>
        <v>4076878169.60235</v>
      </c>
      <c r="E28" s="25" t="n">
        <f aca="false">E26/(1+Supuestos!$B$31)^E5</f>
        <v>4117096313.13816</v>
      </c>
      <c r="F28" s="25" t="n">
        <f aca="false">F26/(1+Supuestos!$B$31)^F5</f>
        <v>3756592932.63615</v>
      </c>
      <c r="G28" s="25" t="n">
        <f aca="false">G26/(1+Supuestos!$B$31)^G5</f>
        <v>3427928980.44454</v>
      </c>
      <c r="H28" s="25" t="n">
        <f aca="false">H26/(1+Supuestos!$B$31)^H5</f>
        <v>3086105328.1372</v>
      </c>
      <c r="I28" s="25" t="n">
        <f aca="false">I26/(1+Supuestos!$B$31)^I5</f>
        <v>3542228983.43644</v>
      </c>
    </row>
    <row r="29" customFormat="false" ht="15" hidden="false" customHeight="true" outlineLevel="0" collapsed="false">
      <c r="A29" s="7" t="s">
        <v>1638</v>
      </c>
      <c r="B29" s="25" t="n">
        <f aca="false">B28</f>
        <v>-9227233233.78764</v>
      </c>
      <c r="C29" s="25" t="n">
        <f aca="false">B29+C28</f>
        <v>-6992913097.56732</v>
      </c>
      <c r="D29" s="25" t="n">
        <f aca="false">C29+D28</f>
        <v>-2916034927.96498</v>
      </c>
      <c r="E29" s="25" t="n">
        <f aca="false">D29+E28</f>
        <v>1201061385.17318</v>
      </c>
      <c r="F29" s="25" t="n">
        <f aca="false">E29+F28</f>
        <v>4957654317.80933</v>
      </c>
      <c r="G29" s="25" t="n">
        <f aca="false">F29+G28</f>
        <v>8385583298.25387</v>
      </c>
      <c r="H29" s="25" t="n">
        <f aca="false">G29+H28</f>
        <v>11471688626.3911</v>
      </c>
      <c r="I29" s="25" t="n">
        <f aca="false">H29+I28</f>
        <v>15013917609.8275</v>
      </c>
    </row>
    <row r="31" customFormat="false" ht="15" hidden="false" customHeight="true" outlineLevel="0" collapsed="false">
      <c r="A31" s="12" t="s">
        <v>1639</v>
      </c>
      <c r="B31" s="13"/>
      <c r="C31" s="13"/>
      <c r="D31" s="13"/>
      <c r="E31" s="13"/>
      <c r="F31" s="13"/>
      <c r="G31" s="13"/>
      <c r="H31" s="13"/>
      <c r="I31" s="13"/>
    </row>
    <row r="32" customFormat="false" ht="15" hidden="false" customHeight="true" outlineLevel="0" collapsed="false">
      <c r="A32" s="7" t="s">
        <v>1640</v>
      </c>
      <c r="B32" s="92" t="n">
        <f aca="false">Supuestos!$B$31</f>
        <v>0.137314075464878</v>
      </c>
    </row>
    <row r="33" customFormat="false" ht="15" hidden="false" customHeight="true" outlineLevel="0" collapsed="false">
      <c r="A33" s="7" t="s">
        <v>1641</v>
      </c>
      <c r="B33" s="93" t="n">
        <f aca="false">B26+NPV(Supuestos!$B$31,C26:I26)</f>
        <v>15013917609.8275</v>
      </c>
    </row>
    <row r="34" customFormat="false" ht="15" hidden="false" customHeight="true" outlineLevel="0" collapsed="false">
      <c r="A34" s="7" t="s">
        <v>1642</v>
      </c>
      <c r="B34" s="94" t="n">
        <f aca="false">B33/Supuestos!$B$6</f>
        <v>4586517.02306331</v>
      </c>
    </row>
    <row r="35" customFormat="false" ht="15" hidden="false" customHeight="true" outlineLevel="0" collapsed="false">
      <c r="A35" s="7" t="s">
        <v>1643</v>
      </c>
      <c r="B35" s="95" t="n">
        <f aca="false">IRR(B26:I26)</f>
        <v>0.489633110528655</v>
      </c>
    </row>
    <row r="36" customFormat="false" ht="15" hidden="false" customHeight="true" outlineLevel="0" collapsed="false">
      <c r="A36" s="7" t="s">
        <v>1644</v>
      </c>
      <c r="B36" s="96" t="n">
        <f aca="false">COUNTIF(B27:I27,"&lt;0")-1+(-INDEX(B27:I27,COUNTIF(B27:I27,"&lt;0")))/INDEX(B26:I26,COUNTIF(B27:I27,"&lt;0")+1)</f>
        <v>2.2332537489278</v>
      </c>
    </row>
    <row r="37" customFormat="false" ht="15" hidden="false" customHeight="true" outlineLevel="0" collapsed="false">
      <c r="A37" s="7" t="s">
        <v>1645</v>
      </c>
      <c r="B37" s="97" t="n">
        <f aca="false">COUNTIF(B29:I29,"&lt;0")-1+(-INDEX(B29:I29,COUNTIF(B29:I29,"&lt;0")))/INDEX(B28:I28,COUNTIF(B29:I29,"&lt;0")+1)</f>
        <v>2.70827464459832</v>
      </c>
    </row>
    <row r="38" customFormat="false" ht="15" hidden="false" customHeight="true" outlineLevel="0" collapsed="false">
      <c r="A38" s="7" t="s">
        <v>1646</v>
      </c>
      <c r="B38" s="98" t="n">
        <f aca="false">NPV(Supuestos!$B$31,C26:I26)/-(B26)</f>
        <v>2.62713104019638</v>
      </c>
    </row>
    <row r="39" customFormat="false" ht="15" hidden="false" customHeight="true" outlineLevel="0" collapsed="false">
      <c r="A39" s="7" t="s">
        <v>1647</v>
      </c>
      <c r="B39" s="99" t="n">
        <f aca="false">Precio_Kuajo!$C$19+Beneficios_OPEX!$B$49+Beneficios_OPEX!$B$50</f>
        <v>9604864121.54138</v>
      </c>
    </row>
    <row r="40" customFormat="false" ht="15" hidden="false" customHeight="true" outlineLevel="0" collapsed="false">
      <c r="A40" s="7" t="s">
        <v>1648</v>
      </c>
      <c r="B40" s="100" t="n">
        <f aca="false">B39/284919000000</f>
        <v>0.0337108586003088</v>
      </c>
    </row>
    <row r="41" customFormat="false" ht="21.75" hidden="false" customHeight="true" outlineLevel="0" collapsed="false">
      <c r="A41" s="101" t="s">
        <v>1649</v>
      </c>
    </row>
    <row r="42" customFormat="false" ht="23.85" hidden="false" customHeight="false" outlineLevel="0" collapsed="false">
      <c r="A42" s="7" t="s">
        <v>1650</v>
      </c>
      <c r="B42" s="98" t="n">
        <f aca="false">NPV(Supuestos!$B$31,C26:I26)/B39</f>
        <v>2.52384110143194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6"/>
    <col collapsed="false" customWidth="true" hidden="false" outlineLevel="0" max="5" min="3" style="1" width="15"/>
    <col collapsed="false" customWidth="true" hidden="false" outlineLevel="0" max="15" min="6" style="1" width="14"/>
  </cols>
  <sheetData>
    <row r="1" customFormat="false" ht="17.25" hidden="false" customHeight="true" outlineLevel="0" collapsed="false">
      <c r="A1" s="2" t="s">
        <v>1651</v>
      </c>
    </row>
    <row r="2" customFormat="false" ht="15" hidden="false" customHeight="true" outlineLevel="0" collapsed="false">
      <c r="A2" s="3" t="s">
        <v>1652</v>
      </c>
    </row>
    <row r="4" customFormat="false" ht="23.25" hidden="false" customHeight="true" outlineLevel="0" collapsed="false">
      <c r="A4" s="4" t="s">
        <v>1653</v>
      </c>
      <c r="B4" s="4" t="s">
        <v>1654</v>
      </c>
      <c r="C4" s="4" t="s">
        <v>1655</v>
      </c>
      <c r="D4" s="4" t="s">
        <v>1656</v>
      </c>
      <c r="E4" s="4" t="s">
        <v>1657</v>
      </c>
      <c r="F4" s="4" t="s">
        <v>1658</v>
      </c>
    </row>
    <row r="5" customFormat="false" ht="15" hidden="false" customHeight="true" outlineLevel="0" collapsed="false">
      <c r="A5" s="7" t="s">
        <v>1659</v>
      </c>
      <c r="B5" s="7" t="s">
        <v>117</v>
      </c>
      <c r="C5" s="42" t="n">
        <v>0.3</v>
      </c>
      <c r="D5" s="30" t="n">
        <v>0</v>
      </c>
      <c r="E5" s="32" t="n">
        <f aca="false">C5*Precio_Kuajo!$C$19</f>
        <v>2557775618.38777</v>
      </c>
      <c r="F5" s="30" t="n">
        <f aca="false">D5+Supuestos!$B$87</f>
        <v>1</v>
      </c>
    </row>
    <row r="6" customFormat="false" ht="15" hidden="false" customHeight="true" outlineLevel="0" collapsed="false">
      <c r="A6" s="7" t="s">
        <v>1660</v>
      </c>
      <c r="B6" s="7" t="s">
        <v>1392</v>
      </c>
      <c r="C6" s="42" t="n">
        <v>0.15</v>
      </c>
      <c r="D6" s="32" t="n">
        <f aca="false">MIN(12,INT(Cronograma!$G$12/(52/12))+1)</f>
        <v>2</v>
      </c>
      <c r="E6" s="32" t="n">
        <f aca="false">C6*Precio_Kuajo!$C$19</f>
        <v>1278887809.19389</v>
      </c>
      <c r="F6" s="32" t="n">
        <f aca="false">D6+Supuestos!$B$87</f>
        <v>3</v>
      </c>
    </row>
    <row r="7" customFormat="false" ht="15" hidden="false" customHeight="true" outlineLevel="0" collapsed="false">
      <c r="A7" s="7" t="s">
        <v>1661</v>
      </c>
      <c r="B7" s="7" t="s">
        <v>1402</v>
      </c>
      <c r="C7" s="42" t="n">
        <v>0.15</v>
      </c>
      <c r="D7" s="32" t="n">
        <f aca="false">MIN(12,INT(Cronograma!$G$16/(52/12))+1)</f>
        <v>3</v>
      </c>
      <c r="E7" s="32" t="n">
        <f aca="false">C7*Precio_Kuajo!$C$19</f>
        <v>1278887809.19389</v>
      </c>
      <c r="F7" s="32" t="n">
        <f aca="false">D7+Supuestos!$B$87</f>
        <v>4</v>
      </c>
    </row>
    <row r="8" customFormat="false" ht="15" hidden="false" customHeight="true" outlineLevel="0" collapsed="false">
      <c r="A8" s="7" t="s">
        <v>1662</v>
      </c>
      <c r="B8" s="7" t="s">
        <v>1020</v>
      </c>
      <c r="C8" s="42" t="n">
        <v>0.2</v>
      </c>
      <c r="D8" s="32" t="n">
        <f aca="false">MIN(12,INT(Cronograma!$G$24/(52/12))+1)</f>
        <v>8</v>
      </c>
      <c r="E8" s="32" t="n">
        <f aca="false">C8*Precio_Kuajo!$C$19</f>
        <v>1705183745.59185</v>
      </c>
      <c r="F8" s="32" t="n">
        <f aca="false">D8+Supuestos!$B$87</f>
        <v>9</v>
      </c>
    </row>
    <row r="9" customFormat="false" ht="15" hidden="false" customHeight="true" outlineLevel="0" collapsed="false">
      <c r="A9" s="7" t="s">
        <v>1663</v>
      </c>
      <c r="B9" s="7" t="s">
        <v>1431</v>
      </c>
      <c r="C9" s="42" t="n">
        <v>0.1</v>
      </c>
      <c r="D9" s="32" t="n">
        <f aca="false">MIN(12,INT(Cronograma!$G$31/(52/12))+1)</f>
        <v>8</v>
      </c>
      <c r="E9" s="32" t="n">
        <f aca="false">C9*Precio_Kuajo!$C$19</f>
        <v>852591872.795925</v>
      </c>
      <c r="F9" s="32" t="n">
        <f aca="false">D9+Supuestos!$B$87</f>
        <v>9</v>
      </c>
    </row>
    <row r="10" customFormat="false" ht="15" hidden="false" customHeight="true" outlineLevel="0" collapsed="false">
      <c r="A10" s="7" t="s">
        <v>1664</v>
      </c>
      <c r="B10" s="7" t="s">
        <v>1457</v>
      </c>
      <c r="C10" s="42" t="n">
        <v>0.1</v>
      </c>
      <c r="D10" s="32" t="n">
        <f aca="false">MIN(12,INT(Cronograma!$G$43/(52/12))+1)</f>
        <v>12</v>
      </c>
      <c r="E10" s="32" t="n">
        <f aca="false">C10*Precio_Kuajo!$C$19</f>
        <v>852591872.795925</v>
      </c>
      <c r="F10" s="32" t="n">
        <f aca="false">D10+Supuestos!$B$87</f>
        <v>13</v>
      </c>
    </row>
    <row r="11" customFormat="false" ht="15" hidden="false" customHeight="true" outlineLevel="0" collapsed="false">
      <c r="A11" s="34" t="s">
        <v>312</v>
      </c>
      <c r="C11" s="87" t="n">
        <f aca="false">SUM(C5:C10)</f>
        <v>1</v>
      </c>
      <c r="E11" s="36" t="n">
        <f aca="false">SUM(E5:E10)</f>
        <v>8525918727.95925</v>
      </c>
    </row>
    <row r="13" customFormat="false" ht="23.25" hidden="false" customHeight="true" outlineLevel="0" collapsed="false">
      <c r="A13" s="4" t="s">
        <v>1665</v>
      </c>
      <c r="B13" s="4" t="s">
        <v>926</v>
      </c>
      <c r="C13" s="4" t="s">
        <v>1666</v>
      </c>
      <c r="D13" s="4" t="s">
        <v>1667</v>
      </c>
      <c r="E13" s="4" t="s">
        <v>1668</v>
      </c>
    </row>
    <row r="14" customFormat="false" ht="15" hidden="false" customHeight="true" outlineLevel="0" collapsed="false">
      <c r="A14" s="7" t="s">
        <v>1417</v>
      </c>
      <c r="B14" s="7" t="s">
        <v>936</v>
      </c>
      <c r="C14" s="33" t="n">
        <f aca="false">Cronograma!$M$23</f>
        <v>1726436316.22546</v>
      </c>
      <c r="D14" s="32" t="n">
        <f aca="false">MIN(12,INT(Cronograma!$F$23/(52/12))+1)</f>
        <v>4</v>
      </c>
      <c r="E14" s="32" t="n">
        <f aca="false">MIN(12,INT(Cronograma!$G$23/(52/12))+1)</f>
        <v>7</v>
      </c>
    </row>
    <row r="15" customFormat="false" ht="15" hidden="false" customHeight="true" outlineLevel="0" collapsed="false">
      <c r="A15" s="7" t="s">
        <v>1523</v>
      </c>
      <c r="B15" s="7" t="s">
        <v>1020</v>
      </c>
      <c r="C15" s="33" t="n">
        <f aca="false">Cronograma!$M$24</f>
        <v>1466671836</v>
      </c>
      <c r="D15" s="32" t="n">
        <f aca="false">MIN(12,INT(Cronograma!$F$24/(52/12))+1)</f>
        <v>3</v>
      </c>
      <c r="E15" s="32" t="n">
        <f aca="false">MIN(12,INT(Cronograma!$G$24/(52/12))+1)</f>
        <v>8</v>
      </c>
    </row>
    <row r="16" customFormat="false" ht="15" hidden="false" customHeight="true" outlineLevel="0" collapsed="false">
      <c r="A16" s="7" t="s">
        <v>1419</v>
      </c>
      <c r="B16" s="7" t="s">
        <v>992</v>
      </c>
      <c r="C16" s="33" t="n">
        <f aca="false">Cronograma!$M$25</f>
        <v>763836156.6</v>
      </c>
      <c r="D16" s="32" t="n">
        <f aca="false">MIN(12,INT(Cronograma!$F$25/(52/12))+1)</f>
        <v>4</v>
      </c>
      <c r="E16" s="32" t="n">
        <f aca="false">MIN(12,INT(Cronograma!$G$25/(52/12))+1)</f>
        <v>7</v>
      </c>
    </row>
    <row r="17" customFormat="false" ht="15" hidden="false" customHeight="true" outlineLevel="0" collapsed="false">
      <c r="A17" s="7" t="s">
        <v>1421</v>
      </c>
      <c r="B17" s="7" t="s">
        <v>1077</v>
      </c>
      <c r="C17" s="33" t="n">
        <f aca="false">Cronograma!$M$26</f>
        <v>225000000</v>
      </c>
      <c r="D17" s="32" t="n">
        <f aca="false">MIN(12,INT(Cronograma!$F$26/(52/12))+1)</f>
        <v>7</v>
      </c>
      <c r="E17" s="32" t="n">
        <f aca="false">MIN(12,INT(Cronograma!$G$26/(52/12))+1)</f>
        <v>8</v>
      </c>
    </row>
    <row r="18" customFormat="false" ht="15" hidden="false" customHeight="true" outlineLevel="0" collapsed="false">
      <c r="A18" s="7" t="s">
        <v>1422</v>
      </c>
      <c r="B18" s="7" t="s">
        <v>1038</v>
      </c>
      <c r="C18" s="33" t="n">
        <f aca="false">Cronograma!$M$27</f>
        <v>549447112.775</v>
      </c>
      <c r="D18" s="32" t="n">
        <f aca="false">MIN(12,INT(Cronograma!$F$27/(52/12))+1)</f>
        <v>4</v>
      </c>
      <c r="E18" s="32" t="n">
        <f aca="false">MIN(12,INT(Cronograma!$G$27/(52/12))+1)</f>
        <v>4</v>
      </c>
    </row>
    <row r="19" customFormat="false" ht="15" hidden="false" customHeight="true" outlineLevel="0" collapsed="false">
      <c r="A19" s="7" t="s">
        <v>1434</v>
      </c>
      <c r="B19" s="7" t="s">
        <v>1082</v>
      </c>
      <c r="C19" s="33" t="n">
        <f aca="false">Cronograma!$M$32</f>
        <v>120000000</v>
      </c>
      <c r="D19" s="32" t="n">
        <f aca="false">MIN(12,INT(Cronograma!$F$32/(52/12))+1)</f>
        <v>6</v>
      </c>
      <c r="E19" s="32" t="n">
        <f aca="false">MIN(12,INT(Cronograma!$G$32/(52/12))+1)</f>
        <v>8</v>
      </c>
    </row>
    <row r="20" customFormat="false" ht="15" hidden="false" customHeight="true" outlineLevel="0" collapsed="false">
      <c r="A20" s="7" t="s">
        <v>1435</v>
      </c>
      <c r="B20" s="7" t="s">
        <v>1086</v>
      </c>
      <c r="C20" s="33" t="n">
        <f aca="false">Cronograma!$M$33</f>
        <v>392000000</v>
      </c>
      <c r="D20" s="32" t="n">
        <f aca="false">MIN(12,INT(Cronograma!$F$33/(52/12))+1)</f>
        <v>8</v>
      </c>
      <c r="E20" s="32" t="n">
        <f aca="false">MIN(12,INT(Cronograma!$G$33/(52/12))+1)</f>
        <v>9</v>
      </c>
    </row>
    <row r="21" customFormat="false" ht="15" hidden="false" customHeight="true" outlineLevel="0" collapsed="false">
      <c r="A21" s="7" t="s">
        <v>1437</v>
      </c>
      <c r="B21" s="7" t="s">
        <v>1090</v>
      </c>
      <c r="C21" s="33" t="n">
        <f aca="false">Cronograma!$M$34</f>
        <v>450000000</v>
      </c>
      <c r="D21" s="32" t="n">
        <f aca="false">MIN(12,INT(Cronograma!$F$34/(52/12))+1)</f>
        <v>8</v>
      </c>
      <c r="E21" s="32" t="n">
        <f aca="false">MIN(12,INT(Cronograma!$G$34/(52/12))+1)</f>
        <v>9</v>
      </c>
    </row>
    <row r="22" customFormat="false" ht="15" hidden="false" customHeight="true" outlineLevel="0" collapsed="false">
      <c r="A22" s="7" t="s">
        <v>1439</v>
      </c>
      <c r="B22" s="7" t="s">
        <v>1095</v>
      </c>
      <c r="C22" s="33" t="n">
        <f aca="false">Cronograma!$M$35</f>
        <v>18000000</v>
      </c>
      <c r="D22" s="32" t="n">
        <f aca="false">MIN(12,INT(Cronograma!$F$35/(52/12))+1)</f>
        <v>8</v>
      </c>
      <c r="E22" s="32" t="n">
        <f aca="false">MIN(12,INT(Cronograma!$G$35/(52/12))+1)</f>
        <v>9</v>
      </c>
    </row>
    <row r="23" customFormat="false" ht="15" hidden="false" customHeight="true" outlineLevel="0" collapsed="false">
      <c r="A23" s="7" t="s">
        <v>1441</v>
      </c>
      <c r="B23" s="7" t="s">
        <v>1093</v>
      </c>
      <c r="C23" s="33" t="n">
        <f aca="false">Cronograma!$M$36</f>
        <v>60000000</v>
      </c>
      <c r="D23" s="32" t="n">
        <f aca="false">MIN(12,INT(Cronograma!$F$36/(52/12))+1)</f>
        <v>7</v>
      </c>
      <c r="E23" s="32" t="n">
        <f aca="false">MIN(12,INT(Cronograma!$G$36/(52/12))+1)</f>
        <v>7</v>
      </c>
    </row>
    <row r="24" customFormat="false" ht="15" hidden="false" customHeight="true" outlineLevel="0" collapsed="false">
      <c r="A24" s="34" t="s">
        <v>1669</v>
      </c>
      <c r="C24" s="36" t="n">
        <f aca="false">SUM(C14:C23)</f>
        <v>5771391421.60046</v>
      </c>
    </row>
    <row r="25" customFormat="false" ht="15" hidden="false" customHeight="true" outlineLevel="0" collapsed="false">
      <c r="A25" s="7" t="s">
        <v>1670</v>
      </c>
      <c r="C25" s="32" t="n">
        <f aca="false">C24-Cotizaciones!$J$71</f>
        <v>0</v>
      </c>
    </row>
    <row r="27" customFormat="false" ht="15" hidden="false" customHeight="true" outlineLevel="0" collapsed="false">
      <c r="A27" s="4" t="s">
        <v>1671</v>
      </c>
      <c r="B27" s="4" t="s">
        <v>1672</v>
      </c>
      <c r="C27" s="4" t="s">
        <v>1510</v>
      </c>
      <c r="D27" s="4" t="s">
        <v>1511</v>
      </c>
      <c r="E27" s="4" t="s">
        <v>1512</v>
      </c>
      <c r="F27" s="4" t="s">
        <v>1513</v>
      </c>
      <c r="G27" s="4" t="s">
        <v>1514</v>
      </c>
      <c r="H27" s="4" t="s">
        <v>1515</v>
      </c>
      <c r="I27" s="4" t="s">
        <v>1516</v>
      </c>
      <c r="J27" s="4" t="s">
        <v>1517</v>
      </c>
      <c r="K27" s="4" t="s">
        <v>1518</v>
      </c>
      <c r="L27" s="4" t="s">
        <v>1519</v>
      </c>
      <c r="M27" s="4" t="s">
        <v>1520</v>
      </c>
      <c r="N27" s="4" t="s">
        <v>1521</v>
      </c>
      <c r="O27" s="4" t="s">
        <v>1673</v>
      </c>
      <c r="P27" s="102" t="s">
        <v>312</v>
      </c>
    </row>
    <row r="28" customFormat="false" ht="15" hidden="false" customHeight="true" outlineLevel="0" collapsed="false">
      <c r="A28" s="5" t="s">
        <v>1656</v>
      </c>
      <c r="B28" s="30" t="n">
        <v>0</v>
      </c>
      <c r="C28" s="30" t="n">
        <v>1</v>
      </c>
      <c r="D28" s="30" t="n">
        <v>2</v>
      </c>
      <c r="E28" s="30" t="n">
        <v>3</v>
      </c>
      <c r="F28" s="30" t="n">
        <v>4</v>
      </c>
      <c r="G28" s="30" t="n">
        <v>5</v>
      </c>
      <c r="H28" s="30" t="n">
        <v>6</v>
      </c>
      <c r="I28" s="30" t="n">
        <v>7</v>
      </c>
      <c r="J28" s="30" t="n">
        <v>8</v>
      </c>
      <c r="K28" s="30" t="n">
        <v>9</v>
      </c>
      <c r="L28" s="30" t="n">
        <v>10</v>
      </c>
      <c r="M28" s="30" t="n">
        <v>11</v>
      </c>
      <c r="N28" s="30" t="n">
        <v>12</v>
      </c>
      <c r="O28" s="1" t="n">
        <v>13</v>
      </c>
    </row>
    <row r="29" customFormat="false" ht="15" hidden="false" customHeight="true" outlineLevel="0" collapsed="false">
      <c r="A29" s="7" t="s">
        <v>1674</v>
      </c>
      <c r="B29" s="32" t="n">
        <f aca="false">SUMIFS($E$5:$E$10,$F$5:$F$10,B$28)</f>
        <v>0</v>
      </c>
      <c r="C29" s="32" t="n">
        <f aca="false">SUMIFS($E$5:$E$10,$F$5:$F$10,C$28)</f>
        <v>2557775618.38777</v>
      </c>
      <c r="D29" s="32" t="n">
        <f aca="false">SUMIFS($E$5:$E$10,$F$5:$F$10,D$28)</f>
        <v>0</v>
      </c>
      <c r="E29" s="32" t="n">
        <f aca="false">SUMIFS($E$5:$E$10,$F$5:$F$10,E$28)</f>
        <v>1278887809.19389</v>
      </c>
      <c r="F29" s="32" t="n">
        <f aca="false">SUMIFS($E$5:$E$10,$F$5:$F$10,F$28)</f>
        <v>1278887809.19389</v>
      </c>
      <c r="G29" s="32" t="n">
        <f aca="false">SUMIFS($E$5:$E$10,$F$5:$F$10,G$28)</f>
        <v>0</v>
      </c>
      <c r="H29" s="32" t="n">
        <f aca="false">SUMIFS($E$5:$E$10,$F$5:$F$10,H$28)</f>
        <v>0</v>
      </c>
      <c r="I29" s="32" t="n">
        <f aca="false">SUMIFS($E$5:$E$10,$F$5:$F$10,I$28)</f>
        <v>0</v>
      </c>
      <c r="J29" s="32" t="n">
        <f aca="false">SUMIFS($E$5:$E$10,$F$5:$F$10,J$28)</f>
        <v>0</v>
      </c>
      <c r="K29" s="32" t="n">
        <f aca="false">SUMIFS($E$5:$E$10,$F$5:$F$10,K$28)</f>
        <v>2557775618.38777</v>
      </c>
      <c r="L29" s="32" t="n">
        <f aca="false">SUMIFS($E$5:$E$10,$F$5:$F$10,L$28)</f>
        <v>0</v>
      </c>
      <c r="M29" s="32" t="n">
        <f aca="false">SUMIFS($E$5:$E$10,$F$5:$F$10,M$28)</f>
        <v>0</v>
      </c>
      <c r="N29" s="32" t="n">
        <f aca="false">SUMIFS($E$5:$E$10,$F$5:$F$10,N$28)</f>
        <v>0</v>
      </c>
      <c r="O29" s="86" t="n">
        <f aca="false">SUMIFS($E$5:$E$10,$F$5:$F$10,O$28)</f>
        <v>852591872.795925</v>
      </c>
      <c r="P29" s="103" t="n">
        <f aca="false">SUM(B29:O29)</f>
        <v>8525918727.95925</v>
      </c>
    </row>
    <row r="30" customFormat="false" ht="15" hidden="false" customHeight="true" outlineLevel="0" collapsed="false">
      <c r="A30" s="7" t="s">
        <v>1675</v>
      </c>
      <c r="B30" s="32" t="n">
        <f aca="false">-B29*Supuestos!$B$88</f>
        <v>-0</v>
      </c>
      <c r="C30" s="32" t="n">
        <f aca="false">-C29*Supuestos!$B$88</f>
        <v>-102311024.735511</v>
      </c>
      <c r="D30" s="32" t="n">
        <f aca="false">-D29*Supuestos!$B$88</f>
        <v>-0</v>
      </c>
      <c r="E30" s="32" t="n">
        <f aca="false">-E29*Supuestos!$B$88</f>
        <v>-51155512.3677555</v>
      </c>
      <c r="F30" s="32" t="n">
        <f aca="false">-F29*Supuestos!$B$88</f>
        <v>-51155512.3677555</v>
      </c>
      <c r="G30" s="32" t="n">
        <f aca="false">-G29*Supuestos!$B$88</f>
        <v>-0</v>
      </c>
      <c r="H30" s="32" t="n">
        <f aca="false">-H29*Supuestos!$B$88</f>
        <v>-0</v>
      </c>
      <c r="I30" s="32" t="n">
        <f aca="false">-I29*Supuestos!$B$88</f>
        <v>-0</v>
      </c>
      <c r="J30" s="32" t="n">
        <f aca="false">-J29*Supuestos!$B$88</f>
        <v>-0</v>
      </c>
      <c r="K30" s="32" t="n">
        <f aca="false">-K29*Supuestos!$B$88</f>
        <v>-102311024.735511</v>
      </c>
      <c r="L30" s="32" t="n">
        <f aca="false">-L29*Supuestos!$B$88</f>
        <v>-0</v>
      </c>
      <c r="M30" s="32" t="n">
        <f aca="false">-M29*Supuestos!$B$88</f>
        <v>-0</v>
      </c>
      <c r="N30" s="32" t="n">
        <f aca="false">-N29*Supuestos!$B$88</f>
        <v>-0</v>
      </c>
      <c r="O30" s="86" t="n">
        <f aca="false">-O29*Supuestos!$B$88</f>
        <v>-34103674.911837</v>
      </c>
      <c r="P30" s="103" t="n">
        <f aca="false">SUM(B30:O30)</f>
        <v>-341036749.11837</v>
      </c>
    </row>
    <row r="31" customFormat="false" ht="15" hidden="false" customHeight="true" outlineLevel="0" collapsed="false">
      <c r="A31" s="7" t="s">
        <v>1676</v>
      </c>
      <c r="B31" s="32" t="n">
        <f aca="false">-0.5*(SUMIFS($C$14:$C$23,$D$14:$D$23,B$28)+SUMIFS($C$14:$C$23,$E$14:$E$23,B$28))</f>
        <v>-0</v>
      </c>
      <c r="C31" s="32" t="n">
        <f aca="false">-0.5*(SUMIFS($C$14:$C$23,$D$14:$D$23,C$28)+SUMIFS($C$14:$C$23,$E$14:$E$23,C$28))</f>
        <v>-0</v>
      </c>
      <c r="D31" s="32" t="n">
        <f aca="false">-0.5*(SUMIFS($C$14:$C$23,$D$14:$D$23,D$28)+SUMIFS($C$14:$C$23,$E$14:$E$23,D$28))</f>
        <v>-0</v>
      </c>
      <c r="E31" s="32" t="n">
        <f aca="false">-0.5*(SUMIFS($C$14:$C$23,$D$14:$D$23,E$28)+SUMIFS($C$14:$C$23,$E$14:$E$23,E$28))</f>
        <v>-733335918</v>
      </c>
      <c r="F31" s="32" t="n">
        <f aca="false">-0.5*(SUMIFS($C$14:$C$23,$D$14:$D$23,F$28)+SUMIFS($C$14:$C$23,$E$14:$E$23,F$28))</f>
        <v>-1794583349.18773</v>
      </c>
      <c r="G31" s="32" t="n">
        <f aca="false">-0.5*(SUMIFS($C$14:$C$23,$D$14:$D$23,G$28)+SUMIFS($C$14:$C$23,$E$14:$E$23,G$28))</f>
        <v>-0</v>
      </c>
      <c r="H31" s="32" t="n">
        <f aca="false">-0.5*(SUMIFS($C$14:$C$23,$D$14:$D$23,H$28)+SUMIFS($C$14:$C$23,$E$14:$E$23,H$28))</f>
        <v>-60000000</v>
      </c>
      <c r="I31" s="32" t="n">
        <f aca="false">-0.5*(SUMIFS($C$14:$C$23,$D$14:$D$23,I$28)+SUMIFS($C$14:$C$23,$E$14:$E$23,I$28))</f>
        <v>-1417636236.41273</v>
      </c>
      <c r="J31" s="32" t="n">
        <f aca="false">-0.5*(SUMIFS($C$14:$C$23,$D$14:$D$23,J$28)+SUMIFS($C$14:$C$23,$E$14:$E$23,J$28))</f>
        <v>-1335835918</v>
      </c>
      <c r="K31" s="32" t="n">
        <f aca="false">-0.5*(SUMIFS($C$14:$C$23,$D$14:$D$23,K$28)+SUMIFS($C$14:$C$23,$E$14:$E$23,K$28))</f>
        <v>-430000000</v>
      </c>
      <c r="L31" s="32" t="n">
        <f aca="false">-0.5*(SUMIFS($C$14:$C$23,$D$14:$D$23,L$28)+SUMIFS($C$14:$C$23,$E$14:$E$23,L$28))</f>
        <v>-0</v>
      </c>
      <c r="M31" s="32" t="n">
        <f aca="false">-0.5*(SUMIFS($C$14:$C$23,$D$14:$D$23,M$28)+SUMIFS($C$14:$C$23,$E$14:$E$23,M$28))</f>
        <v>-0</v>
      </c>
      <c r="N31" s="32" t="n">
        <f aca="false">-0.5*(SUMIFS($C$14:$C$23,$D$14:$D$23,N$28)+SUMIFS($C$14:$C$23,$E$14:$E$23,N$28))</f>
        <v>-0</v>
      </c>
      <c r="O31" s="86" t="n">
        <f aca="false">-0.5*(SUMIFS($C$14:$C$23,$D$14:$D$23,O$28)+SUMIFS($C$14:$C$23,$E$14:$E$23,O$28))</f>
        <v>-0</v>
      </c>
      <c r="P31" s="103" t="n">
        <f aca="false">SUM(B31:O31)</f>
        <v>-5771391421.60046</v>
      </c>
    </row>
    <row r="32" customFormat="false" ht="15" hidden="false" customHeight="true" outlineLevel="0" collapsed="false">
      <c r="A32" s="7" t="s">
        <v>1677</v>
      </c>
      <c r="B32" s="32" t="n">
        <f aca="false">IF(AND(B$28&gt;=1,B$28&lt;=12),-Nomina_Kuajo!$E$11,0)</f>
        <v>0</v>
      </c>
      <c r="C32" s="32" t="n">
        <f aca="false">IF(AND(C$28&gt;=1,C$28&lt;=12),-Nomina_Kuajo!$E$11,0)</f>
        <v>-47911530</v>
      </c>
      <c r="D32" s="32" t="n">
        <f aca="false">IF(AND(D$28&gt;=1,D$28&lt;=12),-Nomina_Kuajo!$E$11,0)</f>
        <v>-47911530</v>
      </c>
      <c r="E32" s="32" t="n">
        <f aca="false">IF(AND(E$28&gt;=1,E$28&lt;=12),-Nomina_Kuajo!$E$11,0)</f>
        <v>-47911530</v>
      </c>
      <c r="F32" s="32" t="n">
        <f aca="false">IF(AND(F$28&gt;=1,F$28&lt;=12),-Nomina_Kuajo!$E$11,0)</f>
        <v>-47911530</v>
      </c>
      <c r="G32" s="32" t="n">
        <f aca="false">IF(AND(G$28&gt;=1,G$28&lt;=12),-Nomina_Kuajo!$E$11,0)</f>
        <v>-47911530</v>
      </c>
      <c r="H32" s="32" t="n">
        <f aca="false">IF(AND(H$28&gt;=1,H$28&lt;=12),-Nomina_Kuajo!$E$11,0)</f>
        <v>-47911530</v>
      </c>
      <c r="I32" s="32" t="n">
        <f aca="false">IF(AND(I$28&gt;=1,I$28&lt;=12),-Nomina_Kuajo!$E$11,0)</f>
        <v>-47911530</v>
      </c>
      <c r="J32" s="32" t="n">
        <f aca="false">IF(AND(J$28&gt;=1,J$28&lt;=12),-Nomina_Kuajo!$E$11,0)</f>
        <v>-47911530</v>
      </c>
      <c r="K32" s="32" t="n">
        <f aca="false">IF(AND(K$28&gt;=1,K$28&lt;=12),-Nomina_Kuajo!$E$11,0)</f>
        <v>-47911530</v>
      </c>
      <c r="L32" s="32" t="n">
        <f aca="false">IF(AND(L$28&gt;=1,L$28&lt;=12),-Nomina_Kuajo!$E$11,0)</f>
        <v>-47911530</v>
      </c>
      <c r="M32" s="32" t="n">
        <f aca="false">IF(AND(M$28&gt;=1,M$28&lt;=12),-Nomina_Kuajo!$E$11,0)</f>
        <v>-47911530</v>
      </c>
      <c r="N32" s="32" t="n">
        <f aca="false">IF(AND(N$28&gt;=1,N$28&lt;=12),-Nomina_Kuajo!$E$11,0)</f>
        <v>-47911530</v>
      </c>
      <c r="O32" s="86" t="n">
        <f aca="false">IF(AND(O$28&gt;=1,O$28&lt;=12),-Nomina_Kuajo!$E$11,0)</f>
        <v>0</v>
      </c>
      <c r="P32" s="103" t="n">
        <f aca="false">SUM(B32:O32)</f>
        <v>-574938360</v>
      </c>
    </row>
    <row r="33" customFormat="false" ht="15" hidden="false" customHeight="true" outlineLevel="0" collapsed="false">
      <c r="A33" s="7" t="s">
        <v>1678</v>
      </c>
      <c r="B33" s="32" t="n">
        <f aca="false">IF(AND(B$28&gt;=1,B$28&lt;=12),-Nomina_Kuajo!$G$28,0)</f>
        <v>0</v>
      </c>
      <c r="C33" s="32" t="n">
        <f aca="false">IF(AND(C$28&gt;=1,C$28&lt;=12),-Nomina_Kuajo!$G$28,0)</f>
        <v>-10500000</v>
      </c>
      <c r="D33" s="32" t="n">
        <f aca="false">IF(AND(D$28&gt;=1,D$28&lt;=12),-Nomina_Kuajo!$G$28,0)</f>
        <v>-10500000</v>
      </c>
      <c r="E33" s="32" t="n">
        <f aca="false">IF(AND(E$28&gt;=1,E$28&lt;=12),-Nomina_Kuajo!$G$28,0)</f>
        <v>-10500000</v>
      </c>
      <c r="F33" s="32" t="n">
        <f aca="false">IF(AND(F$28&gt;=1,F$28&lt;=12),-Nomina_Kuajo!$G$28,0)</f>
        <v>-10500000</v>
      </c>
      <c r="G33" s="32" t="n">
        <f aca="false">IF(AND(G$28&gt;=1,G$28&lt;=12),-Nomina_Kuajo!$G$28,0)</f>
        <v>-10500000</v>
      </c>
      <c r="H33" s="32" t="n">
        <f aca="false">IF(AND(H$28&gt;=1,H$28&lt;=12),-Nomina_Kuajo!$G$28,0)</f>
        <v>-10500000</v>
      </c>
      <c r="I33" s="32" t="n">
        <f aca="false">IF(AND(I$28&gt;=1,I$28&lt;=12),-Nomina_Kuajo!$G$28,0)</f>
        <v>-10500000</v>
      </c>
      <c r="J33" s="32" t="n">
        <f aca="false">IF(AND(J$28&gt;=1,J$28&lt;=12),-Nomina_Kuajo!$G$28,0)</f>
        <v>-10500000</v>
      </c>
      <c r="K33" s="32" t="n">
        <f aca="false">IF(AND(K$28&gt;=1,K$28&lt;=12),-Nomina_Kuajo!$G$28,0)</f>
        <v>-10500000</v>
      </c>
      <c r="L33" s="32" t="n">
        <f aca="false">IF(AND(L$28&gt;=1,L$28&lt;=12),-Nomina_Kuajo!$G$28,0)</f>
        <v>-10500000</v>
      </c>
      <c r="M33" s="32" t="n">
        <f aca="false">IF(AND(M$28&gt;=1,M$28&lt;=12),-Nomina_Kuajo!$G$28,0)</f>
        <v>-10500000</v>
      </c>
      <c r="N33" s="32" t="n">
        <f aca="false">IF(AND(N$28&gt;=1,N$28&lt;=12),-Nomina_Kuajo!$G$28,0)</f>
        <v>-10500000</v>
      </c>
      <c r="O33" s="86" t="n">
        <f aca="false">IF(AND(O$28&gt;=1,O$28&lt;=12),-Nomina_Kuajo!$G$28,0)</f>
        <v>0</v>
      </c>
      <c r="P33" s="103" t="n">
        <f aca="false">SUM(B33:O33)</f>
        <v>-126000000</v>
      </c>
    </row>
    <row r="34" customFormat="false" ht="15" hidden="false" customHeight="true" outlineLevel="0" collapsed="false">
      <c r="A34" s="7" t="s">
        <v>1679</v>
      </c>
      <c r="B34" s="32" t="n">
        <f aca="false">IF(B$28=0,-Nomina_Kuajo!$G$29,0)</f>
        <v>-142478190</v>
      </c>
      <c r="C34" s="32" t="n">
        <f aca="false">IF(C$28=0,-Nomina_Kuajo!$G$29,0)</f>
        <v>0</v>
      </c>
      <c r="D34" s="32" t="n">
        <f aca="false">IF(D$28=0,-Nomina_Kuajo!$G$29,0)</f>
        <v>0</v>
      </c>
      <c r="E34" s="32" t="n">
        <f aca="false">IF(E$28=0,-Nomina_Kuajo!$G$29,0)</f>
        <v>0</v>
      </c>
      <c r="F34" s="32" t="n">
        <f aca="false">IF(F$28=0,-Nomina_Kuajo!$G$29,0)</f>
        <v>0</v>
      </c>
      <c r="G34" s="32" t="n">
        <f aca="false">IF(G$28=0,-Nomina_Kuajo!$G$29,0)</f>
        <v>0</v>
      </c>
      <c r="H34" s="32" t="n">
        <f aca="false">IF(H$28=0,-Nomina_Kuajo!$G$29,0)</f>
        <v>0</v>
      </c>
      <c r="I34" s="32" t="n">
        <f aca="false">IF(I$28=0,-Nomina_Kuajo!$G$29,0)</f>
        <v>0</v>
      </c>
      <c r="J34" s="32" t="n">
        <f aca="false">IF(J$28=0,-Nomina_Kuajo!$G$29,0)</f>
        <v>0</v>
      </c>
      <c r="K34" s="32" t="n">
        <f aca="false">IF(K$28=0,-Nomina_Kuajo!$G$29,0)</f>
        <v>0</v>
      </c>
      <c r="L34" s="32" t="n">
        <f aca="false">IF(L$28=0,-Nomina_Kuajo!$G$29,0)</f>
        <v>0</v>
      </c>
      <c r="M34" s="32" t="n">
        <f aca="false">IF(M$28=0,-Nomina_Kuajo!$G$29,0)</f>
        <v>0</v>
      </c>
      <c r="N34" s="32" t="n">
        <f aca="false">IF(N$28=0,-Nomina_Kuajo!$G$29,0)</f>
        <v>0</v>
      </c>
      <c r="O34" s="86" t="n">
        <f aca="false">IF(O$28=0,-Nomina_Kuajo!$G$29,0)</f>
        <v>0</v>
      </c>
      <c r="P34" s="103" t="n">
        <f aca="false">SUM(B34:O34)</f>
        <v>-142478190</v>
      </c>
    </row>
    <row r="35" customFormat="false" ht="15" hidden="false" customHeight="true" outlineLevel="0" collapsed="false">
      <c r="A35" s="7" t="s">
        <v>1680</v>
      </c>
      <c r="B35" s="32" t="n">
        <f aca="false">IF(B$28=0,-Precio_Kuajo!$C$18,0)</f>
        <v>-102311024.735511</v>
      </c>
      <c r="C35" s="32" t="n">
        <f aca="false">IF(C$28=0,-Precio_Kuajo!$C$18,0)</f>
        <v>0</v>
      </c>
      <c r="D35" s="32" t="n">
        <f aca="false">IF(D$28=0,-Precio_Kuajo!$C$18,0)</f>
        <v>0</v>
      </c>
      <c r="E35" s="32" t="n">
        <f aca="false">IF(E$28=0,-Precio_Kuajo!$C$18,0)</f>
        <v>0</v>
      </c>
      <c r="F35" s="32" t="n">
        <f aca="false">IF(F$28=0,-Precio_Kuajo!$C$18,0)</f>
        <v>0</v>
      </c>
      <c r="G35" s="32" t="n">
        <f aca="false">IF(G$28=0,-Precio_Kuajo!$C$18,0)</f>
        <v>0</v>
      </c>
      <c r="H35" s="32" t="n">
        <f aca="false">IF(H$28=0,-Precio_Kuajo!$C$18,0)</f>
        <v>0</v>
      </c>
      <c r="I35" s="32" t="n">
        <f aca="false">IF(I$28=0,-Precio_Kuajo!$C$18,0)</f>
        <v>0</v>
      </c>
      <c r="J35" s="32" t="n">
        <f aca="false">IF(J$28=0,-Precio_Kuajo!$C$18,0)</f>
        <v>0</v>
      </c>
      <c r="K35" s="32" t="n">
        <f aca="false">IF(K$28=0,-Precio_Kuajo!$C$18,0)</f>
        <v>0</v>
      </c>
      <c r="L35" s="32" t="n">
        <f aca="false">IF(L$28=0,-Precio_Kuajo!$C$18,0)</f>
        <v>0</v>
      </c>
      <c r="M35" s="32" t="n">
        <f aca="false">IF(M$28=0,-Precio_Kuajo!$C$18,0)</f>
        <v>0</v>
      </c>
      <c r="N35" s="32" t="n">
        <f aca="false">IF(N$28=0,-Precio_Kuajo!$C$18,0)</f>
        <v>0</v>
      </c>
      <c r="O35" s="86" t="n">
        <f aca="false">IF(O$28=0,-Precio_Kuajo!$C$18,0)</f>
        <v>0</v>
      </c>
      <c r="P35" s="103" t="n">
        <f aca="false">SUM(B35:O35)</f>
        <v>-102311024.735511</v>
      </c>
    </row>
    <row r="36" customFormat="false" ht="15" hidden="false" customHeight="true" outlineLevel="0" collapsed="false">
      <c r="A36" s="7" t="s">
        <v>1681</v>
      </c>
      <c r="B36" s="32" t="n">
        <f aca="false">IF(AND(B$28&gt;=7,B$28&lt;=11),-(Precio_Kuajo!$B$16*Supuestos!$B$56+Supuestos!$B$91*Nomina_Kuajo!$B$13*1.25)/5,0)</f>
        <v>0</v>
      </c>
      <c r="C36" s="32" t="n">
        <f aca="false">IF(AND(C$28&gt;=7,C$28&lt;=11),-(Precio_Kuajo!$B$16*Supuestos!$B$56+Supuestos!$B$91*Nomina_Kuajo!$B$13*1.25)/5,0)</f>
        <v>0</v>
      </c>
      <c r="D36" s="32" t="n">
        <f aca="false">IF(AND(D$28&gt;=7,D$28&lt;=11),-(Precio_Kuajo!$B$16*Supuestos!$B$56+Supuestos!$B$91*Nomina_Kuajo!$B$13*1.25)/5,0)</f>
        <v>0</v>
      </c>
      <c r="E36" s="32" t="n">
        <f aca="false">IF(AND(E$28&gt;=7,E$28&lt;=11),-(Precio_Kuajo!$B$16*Supuestos!$B$56+Supuestos!$B$91*Nomina_Kuajo!$B$13*1.25)/5,0)</f>
        <v>0</v>
      </c>
      <c r="F36" s="32" t="n">
        <f aca="false">IF(AND(F$28&gt;=7,F$28&lt;=11),-(Precio_Kuajo!$B$16*Supuestos!$B$56+Supuestos!$B$91*Nomina_Kuajo!$B$13*1.25)/5,0)</f>
        <v>0</v>
      </c>
      <c r="G36" s="32" t="n">
        <f aca="false">IF(AND(G$28&gt;=7,G$28&lt;=11),-(Precio_Kuajo!$B$16*Supuestos!$B$56+Supuestos!$B$91*Nomina_Kuajo!$B$13*1.25)/5,0)</f>
        <v>0</v>
      </c>
      <c r="H36" s="32" t="n">
        <f aca="false">IF(AND(H$28&gt;=7,H$28&lt;=11),-(Precio_Kuajo!$B$16*Supuestos!$B$56+Supuestos!$B$91*Nomina_Kuajo!$B$13*1.25)/5,0)</f>
        <v>0</v>
      </c>
      <c r="I36" s="32" t="n">
        <f aca="false">IF(AND(I$28&gt;=7,I$28&lt;=11),-(Precio_Kuajo!$B$16*Supuestos!$B$56+Supuestos!$B$91*Nomina_Kuajo!$B$13*1.25)/5,0)</f>
        <v>-48229781.5571407</v>
      </c>
      <c r="J36" s="32" t="n">
        <f aca="false">IF(AND(J$28&gt;=7,J$28&lt;=11),-(Precio_Kuajo!$B$16*Supuestos!$B$56+Supuestos!$B$91*Nomina_Kuajo!$B$13*1.25)/5,0)</f>
        <v>-48229781.5571407</v>
      </c>
      <c r="K36" s="32" t="n">
        <f aca="false">IF(AND(K$28&gt;=7,K$28&lt;=11),-(Precio_Kuajo!$B$16*Supuestos!$B$56+Supuestos!$B$91*Nomina_Kuajo!$B$13*1.25)/5,0)</f>
        <v>-48229781.5571407</v>
      </c>
      <c r="L36" s="32" t="n">
        <f aca="false">IF(AND(L$28&gt;=7,L$28&lt;=11),-(Precio_Kuajo!$B$16*Supuestos!$B$56+Supuestos!$B$91*Nomina_Kuajo!$B$13*1.25)/5,0)</f>
        <v>-48229781.5571407</v>
      </c>
      <c r="M36" s="32" t="n">
        <f aca="false">IF(AND(M$28&gt;=7,M$28&lt;=11),-(Precio_Kuajo!$B$16*Supuestos!$B$56+Supuestos!$B$91*Nomina_Kuajo!$B$13*1.25)/5,0)</f>
        <v>-48229781.5571407</v>
      </c>
      <c r="N36" s="32" t="n">
        <f aca="false">IF(AND(N$28&gt;=7,N$28&lt;=11),-(Precio_Kuajo!$B$16*Supuestos!$B$56+Supuestos!$B$91*Nomina_Kuajo!$B$13*1.25)/5,0)</f>
        <v>0</v>
      </c>
      <c r="O36" s="86" t="n">
        <f aca="false">IF(AND(O$28&gt;=7,O$28&lt;=11),-(Precio_Kuajo!$B$16*Supuestos!$B$56+Supuestos!$B$91*Nomina_Kuajo!$B$13*1.25)/5,0)</f>
        <v>0</v>
      </c>
      <c r="P36" s="103" t="n">
        <f aca="false">SUM(B36:O36)</f>
        <v>-241148907.785703</v>
      </c>
    </row>
    <row r="37" customFormat="false" ht="15" hidden="false" customHeight="true" outlineLevel="0" collapsed="false">
      <c r="A37" s="7" t="s">
        <v>1682</v>
      </c>
      <c r="B37" s="32" t="n">
        <f aca="false">-B29*Supuestos!$B$53</f>
        <v>-0</v>
      </c>
      <c r="C37" s="32" t="n">
        <f aca="false">-C29*Supuestos!$B$53</f>
        <v>-24708112.4736259</v>
      </c>
      <c r="D37" s="32" t="n">
        <f aca="false">-D29*Supuestos!$B$53</f>
        <v>-0</v>
      </c>
      <c r="E37" s="32" t="n">
        <f aca="false">-E29*Supuestos!$B$53</f>
        <v>-12354056.236813</v>
      </c>
      <c r="F37" s="32" t="n">
        <f aca="false">-F29*Supuestos!$B$53</f>
        <v>-12354056.236813</v>
      </c>
      <c r="G37" s="32" t="n">
        <f aca="false">-G29*Supuestos!$B$53</f>
        <v>-0</v>
      </c>
      <c r="H37" s="32" t="n">
        <f aca="false">-H29*Supuestos!$B$53</f>
        <v>-0</v>
      </c>
      <c r="I37" s="32" t="n">
        <f aca="false">-I29*Supuestos!$B$53</f>
        <v>-0</v>
      </c>
      <c r="J37" s="32" t="n">
        <f aca="false">-J29*Supuestos!$B$53</f>
        <v>-0</v>
      </c>
      <c r="K37" s="32" t="n">
        <f aca="false">-K29*Supuestos!$B$53</f>
        <v>-24708112.4736259</v>
      </c>
      <c r="L37" s="32" t="n">
        <f aca="false">-L29*Supuestos!$B$53</f>
        <v>-0</v>
      </c>
      <c r="M37" s="32" t="n">
        <f aca="false">-M29*Supuestos!$B$53</f>
        <v>-0</v>
      </c>
      <c r="N37" s="32" t="n">
        <f aca="false">-N29*Supuestos!$B$53</f>
        <v>-0</v>
      </c>
      <c r="O37" s="86" t="n">
        <f aca="false">-O29*Supuestos!$B$53</f>
        <v>-8236037.49120863</v>
      </c>
      <c r="P37" s="103" t="n">
        <f aca="false">SUM(B37:O37)</f>
        <v>-82360374.9120863</v>
      </c>
    </row>
    <row r="38" customFormat="false" ht="15" hidden="false" customHeight="true" outlineLevel="0" collapsed="false">
      <c r="A38" s="7" t="s">
        <v>1683</v>
      </c>
      <c r="B38" s="32" t="n">
        <f aca="false">SUM(B31:B36)*Supuestos!$B$54</f>
        <v>-979156.858942043</v>
      </c>
      <c r="C38" s="32" t="n">
        <f aca="false">SUM(C31:C36)*Supuestos!$B$54</f>
        <v>-233646.12</v>
      </c>
      <c r="D38" s="32" t="n">
        <f aca="false">SUM(D31:D36)*Supuestos!$B$54</f>
        <v>-233646.12</v>
      </c>
      <c r="E38" s="32" t="n">
        <f aca="false">SUM(E31:E36)*Supuestos!$B$54</f>
        <v>-3166989.792</v>
      </c>
      <c r="F38" s="32" t="n">
        <f aca="false">SUM(F31:F36)*Supuestos!$B$54</f>
        <v>-7411979.51675091</v>
      </c>
      <c r="G38" s="32" t="n">
        <f aca="false">SUM(G31:G36)*Supuestos!$B$54</f>
        <v>-233646.12</v>
      </c>
      <c r="H38" s="32" t="n">
        <f aca="false">SUM(H31:H36)*Supuestos!$B$54</f>
        <v>-473646.12</v>
      </c>
      <c r="I38" s="32" t="n">
        <f aca="false">SUM(I31:I36)*Supuestos!$B$54</f>
        <v>-6097110.19187948</v>
      </c>
      <c r="J38" s="32" t="n">
        <f aca="false">SUM(J31:J36)*Supuestos!$B$54</f>
        <v>-5769908.91822856</v>
      </c>
      <c r="K38" s="32" t="n">
        <f aca="false">SUM(K31:K36)*Supuestos!$B$54</f>
        <v>-2146565.24622856</v>
      </c>
      <c r="L38" s="32" t="n">
        <f aca="false">SUM(L31:L36)*Supuestos!$B$54</f>
        <v>-426565.246228563</v>
      </c>
      <c r="M38" s="32" t="n">
        <f aca="false">SUM(M31:M36)*Supuestos!$B$54</f>
        <v>-426565.246228563</v>
      </c>
      <c r="N38" s="32" t="n">
        <f aca="false">SUM(N31:N36)*Supuestos!$B$54</f>
        <v>-233646.12</v>
      </c>
      <c r="O38" s="86" t="n">
        <f aca="false">SUM(O31:O36)*Supuestos!$B$54</f>
        <v>0</v>
      </c>
      <c r="P38" s="103" t="n">
        <f aca="false">SUM(B38:O38)</f>
        <v>-27833071.6164867</v>
      </c>
    </row>
    <row r="39" customFormat="false" ht="15" hidden="false" customHeight="true" outlineLevel="0" collapsed="false">
      <c r="A39" s="35" t="s">
        <v>1684</v>
      </c>
      <c r="B39" s="36" t="n">
        <v>0</v>
      </c>
      <c r="C39" s="36" t="n">
        <f aca="false">IF(B42&lt;0,B42*((1+Supuestos!$B$89)^(1/12)-1),0)</f>
        <v>-3103265.95439845</v>
      </c>
      <c r="D39" s="36" t="n">
        <f aca="false">IF(C42&lt;0,C42*((1+Supuestos!$B$89)^(1/12)-1),0)</f>
        <v>0</v>
      </c>
      <c r="E39" s="36" t="n">
        <f aca="false">IF(D42&lt;0,D42*((1+Supuestos!$B$89)^(1/12)-1),0)</f>
        <v>0</v>
      </c>
      <c r="F39" s="36" t="n">
        <f aca="false">IF(E42&lt;0,E42*((1+Supuestos!$B$89)^(1/12)-1),0)</f>
        <v>0</v>
      </c>
      <c r="G39" s="36" t="n">
        <f aca="false">IF(F42&lt;0,F42*((1+Supuestos!$B$89)^(1/12)-1),0)</f>
        <v>0</v>
      </c>
      <c r="H39" s="36" t="n">
        <f aca="false">IF(G42&lt;0,G42*((1+Supuestos!$B$89)^(1/12)-1),0)</f>
        <v>0</v>
      </c>
      <c r="I39" s="36" t="n">
        <f aca="false">IF(H42&lt;0,H42*((1+Supuestos!$B$89)^(1/12)-1),0)</f>
        <v>0</v>
      </c>
      <c r="J39" s="36" t="n">
        <f aca="false">IF(I42&lt;0,I42*((1+Supuestos!$B$89)^(1/12)-1),0)</f>
        <v>0</v>
      </c>
      <c r="K39" s="36" t="n">
        <f aca="false">IF(J42&lt;0,J42*((1+Supuestos!$B$89)^(1/12)-1),0)</f>
        <v>-16618403.8864633</v>
      </c>
      <c r="L39" s="36" t="n">
        <f aca="false">IF(K42&lt;0,K42*((1+Supuestos!$B$89)^(1/12)-1),0)</f>
        <v>0</v>
      </c>
      <c r="M39" s="36" t="n">
        <f aca="false">IF(L42&lt;0,L42*((1+Supuestos!$B$89)^(1/12)-1),0)</f>
        <v>0</v>
      </c>
      <c r="N39" s="36" t="n">
        <f aca="false">IF(M42&lt;0,M42*((1+Supuestos!$B$89)^(1/12)-1),0)</f>
        <v>0</v>
      </c>
      <c r="O39" s="86" t="n">
        <f aca="false">IF(N42&lt;0,N42*((1+Supuestos!$B$89)^(1/12)-1),0)</f>
        <v>0</v>
      </c>
      <c r="P39" s="103" t="n">
        <f aca="false">SUM(B39:O39)</f>
        <v>-19721669.8408617</v>
      </c>
    </row>
    <row r="40" customFormat="false" ht="15" hidden="false" customHeight="true" outlineLevel="0" collapsed="false">
      <c r="A40" s="7" t="s">
        <v>1685</v>
      </c>
      <c r="B40" s="86" t="n">
        <f aca="false">IF(B$28=13,-(MAX(0,$B$54)*Supuestos!$B$10+$P$30),0)</f>
        <v>0</v>
      </c>
      <c r="C40" s="86" t="n">
        <f aca="false">IF(C$28=13,-(MAX(0,$B$54)*Supuestos!$B$10+$P$30),0)</f>
        <v>0</v>
      </c>
      <c r="D40" s="86" t="n">
        <f aca="false">IF(D$28=13,-(MAX(0,$B$54)*Supuestos!$B$10+$P$30),0)</f>
        <v>0</v>
      </c>
      <c r="E40" s="86" t="n">
        <f aca="false">IF(E$28=13,-(MAX(0,$B$54)*Supuestos!$B$10+$P$30),0)</f>
        <v>0</v>
      </c>
      <c r="F40" s="86" t="n">
        <f aca="false">IF(F$28=13,-(MAX(0,$B$54)*Supuestos!$B$10+$P$30),0)</f>
        <v>0</v>
      </c>
      <c r="G40" s="86" t="n">
        <f aca="false">IF(G$28=13,-(MAX(0,$B$54)*Supuestos!$B$10+$P$30),0)</f>
        <v>0</v>
      </c>
      <c r="H40" s="86" t="n">
        <f aca="false">IF(H$28=13,-(MAX(0,$B$54)*Supuestos!$B$10+$P$30),0)</f>
        <v>0</v>
      </c>
      <c r="I40" s="86" t="n">
        <f aca="false">IF(I$28=13,-(MAX(0,$B$54)*Supuestos!$B$10+$P$30),0)</f>
        <v>0</v>
      </c>
      <c r="J40" s="86" t="n">
        <f aca="false">IF(J$28=13,-(MAX(0,$B$54)*Supuestos!$B$10+$P$30),0)</f>
        <v>0</v>
      </c>
      <c r="K40" s="86" t="n">
        <f aca="false">IF(K$28=13,-(MAX(0,$B$54)*Supuestos!$B$10+$P$30),0)</f>
        <v>0</v>
      </c>
      <c r="L40" s="86" t="n">
        <f aca="false">IF(L$28=13,-(MAX(0,$B$54)*Supuestos!$B$10+$P$30),0)</f>
        <v>0</v>
      </c>
      <c r="M40" s="86" t="n">
        <f aca="false">IF(M$28=13,-(MAX(0,$B$54)*Supuestos!$B$10+$P$30),0)</f>
        <v>0</v>
      </c>
      <c r="N40" s="86" t="n">
        <f aca="false">IF(N$28=13,-(MAX(0,$B$54)*Supuestos!$B$10+$P$30),0)</f>
        <v>0</v>
      </c>
      <c r="O40" s="103" t="n">
        <f aca="false">IF(O$28=13,-(MAX(0,$B$54)*Supuestos!$B$10+$P$30),0)</f>
        <v>-162170748.49548</v>
      </c>
      <c r="P40" s="103" t="n">
        <f aca="false">SUM(B40:O40)</f>
        <v>-162170748.49548</v>
      </c>
    </row>
    <row r="41" customFormat="false" ht="15" hidden="false" customHeight="false" outlineLevel="0" collapsed="false">
      <c r="A41" s="54" t="s">
        <v>1686</v>
      </c>
      <c r="B41" s="104" t="n">
        <f aca="false">SUM(B29:B40)</f>
        <v>-245768371.594453</v>
      </c>
      <c r="C41" s="104" t="n">
        <f aca="false">SUM(C29:C40)</f>
        <v>2369008039.10424</v>
      </c>
      <c r="D41" s="104" t="n">
        <f aca="false">SUM(D29:D40)</f>
        <v>-58645176.12</v>
      </c>
      <c r="E41" s="104" t="n">
        <f aca="false">SUM(E29:E40)</f>
        <v>420463802.797319</v>
      </c>
      <c r="F41" s="104" t="n">
        <f aca="false">SUM(F29:F40)</f>
        <v>-645028618.115161</v>
      </c>
      <c r="G41" s="104" t="n">
        <f aca="false">SUM(G29:G40)</f>
        <v>-58645176.12</v>
      </c>
      <c r="H41" s="104" t="n">
        <f aca="false">SUM(H29:H40)</f>
        <v>-118885176.12</v>
      </c>
      <c r="I41" s="104" t="n">
        <f aca="false">SUM(I29:I40)</f>
        <v>-1530374658.16175</v>
      </c>
      <c r="J41" s="104" t="n">
        <f aca="false">SUM(J29:J40)</f>
        <v>-1448247138.47537</v>
      </c>
      <c r="K41" s="104" t="n">
        <f aca="false">SUM(K29:K40)</f>
        <v>1875350200.48881</v>
      </c>
      <c r="L41" s="104" t="n">
        <f aca="false">SUM(L29:L40)</f>
        <v>-107067876.803369</v>
      </c>
      <c r="M41" s="104" t="n">
        <f aca="false">SUM(M29:M40)</f>
        <v>-107067876.803369</v>
      </c>
      <c r="N41" s="104" t="n">
        <f aca="false">SUM(N29:N40)</f>
        <v>-58645176.12</v>
      </c>
      <c r="O41" s="104" t="n">
        <f aca="false">SUM(O29:O40)</f>
        <v>648081411.897399</v>
      </c>
      <c r="P41" s="104" t="n">
        <f aca="false">SUM(B41:O41)</f>
        <v>934528209.854292</v>
      </c>
    </row>
    <row r="42" customFormat="false" ht="15" hidden="false" customHeight="true" outlineLevel="0" collapsed="false">
      <c r="A42" s="13" t="s">
        <v>1687</v>
      </c>
      <c r="B42" s="105" t="n">
        <f aca="false">B41</f>
        <v>-245768371.594453</v>
      </c>
      <c r="C42" s="105" t="n">
        <f aca="false">B42+C41</f>
        <v>2123239667.50979</v>
      </c>
      <c r="D42" s="103" t="n">
        <f aca="false">C42+D41</f>
        <v>2064594491.38979</v>
      </c>
      <c r="E42" s="103" t="n">
        <f aca="false">D42+E41</f>
        <v>2485058294.1871</v>
      </c>
      <c r="F42" s="103" t="n">
        <f aca="false">E42+F41</f>
        <v>1840029676.07194</v>
      </c>
      <c r="G42" s="103" t="n">
        <f aca="false">F42+G41</f>
        <v>1781384499.95194</v>
      </c>
      <c r="H42" s="103" t="n">
        <f aca="false">G42+H41</f>
        <v>1662499323.83194</v>
      </c>
      <c r="I42" s="103" t="n">
        <f aca="false">H42+I41</f>
        <v>132124665.670196</v>
      </c>
      <c r="J42" s="103" t="n">
        <f aca="false">I42+J41</f>
        <v>-1316122472.80517</v>
      </c>
      <c r="K42" s="103" t="n">
        <f aca="false">J42+K41</f>
        <v>559227727.683632</v>
      </c>
      <c r="L42" s="103" t="n">
        <f aca="false">K42+L41</f>
        <v>452159850.880262</v>
      </c>
      <c r="M42" s="103" t="n">
        <f aca="false">L42+M41</f>
        <v>345091974.076893</v>
      </c>
      <c r="N42" s="103" t="n">
        <f aca="false">M42+N41</f>
        <v>286446797.956893</v>
      </c>
      <c r="O42" s="103" t="n">
        <f aca="false">N42+O41</f>
        <v>934528209.854292</v>
      </c>
      <c r="P42" s="103"/>
    </row>
    <row r="43" customFormat="false" ht="15" hidden="false" customHeight="true" outlineLevel="0" collapsed="false">
      <c r="A43" s="7"/>
      <c r="B43" s="32"/>
    </row>
    <row r="44" customFormat="false" ht="15" hidden="false" customHeight="true" outlineLevel="0" collapsed="false">
      <c r="A44" s="106" t="s">
        <v>1688</v>
      </c>
      <c r="B44" s="32"/>
    </row>
    <row r="45" customFormat="false" ht="15" hidden="false" customHeight="true" outlineLevel="0" collapsed="false">
      <c r="A45" s="34" t="s">
        <v>1689</v>
      </c>
      <c r="B45" s="36" t="n">
        <f aca="false">P29</f>
        <v>8525918727.95925</v>
      </c>
    </row>
    <row r="46" customFormat="false" ht="15" hidden="false" customHeight="true" outlineLevel="0" collapsed="false">
      <c r="A46" s="7" t="s">
        <v>1690</v>
      </c>
      <c r="B46" s="32" t="n">
        <f aca="false">P31</f>
        <v>-5771391421.60046</v>
      </c>
    </row>
    <row r="47" customFormat="false" ht="15" hidden="false" customHeight="true" outlineLevel="0" collapsed="false">
      <c r="A47" s="106" t="s">
        <v>1691</v>
      </c>
      <c r="B47" s="107" t="n">
        <f aca="false">B45+B46</f>
        <v>2754527306.35879</v>
      </c>
    </row>
    <row r="48" customFormat="false" ht="15" hidden="false" customHeight="true" outlineLevel="0" collapsed="false">
      <c r="A48" s="7" t="s">
        <v>1677</v>
      </c>
      <c r="B48" s="32" t="n">
        <f aca="false">P32</f>
        <v>-574938360</v>
      </c>
    </row>
    <row r="49" customFormat="false" ht="15" hidden="false" customHeight="true" outlineLevel="0" collapsed="false">
      <c r="A49" s="7" t="s">
        <v>1692</v>
      </c>
      <c r="B49" s="32" t="n">
        <f aca="false">P33+P34</f>
        <v>-268478190</v>
      </c>
    </row>
    <row r="50" customFormat="false" ht="15" hidden="false" customHeight="true" outlineLevel="0" collapsed="false">
      <c r="A50" s="7" t="s">
        <v>1693</v>
      </c>
      <c r="B50" s="32" t="n">
        <f aca="false">P35</f>
        <v>-102311024.735511</v>
      </c>
    </row>
    <row r="51" customFormat="false" ht="15" hidden="false" customHeight="true" outlineLevel="0" collapsed="false">
      <c r="A51" s="34" t="s">
        <v>1694</v>
      </c>
      <c r="B51" s="36" t="n">
        <f aca="false">P36</f>
        <v>-241148907.785703</v>
      </c>
    </row>
    <row r="52" customFormat="false" ht="15" hidden="false" customHeight="true" outlineLevel="0" collapsed="false">
      <c r="A52" s="7" t="s">
        <v>1695</v>
      </c>
      <c r="B52" s="32" t="n">
        <f aca="false">P37+P38</f>
        <v>-110193446.528573</v>
      </c>
    </row>
    <row r="53" customFormat="false" ht="15" hidden="false" customHeight="true" outlineLevel="0" collapsed="false">
      <c r="A53" s="34" t="s">
        <v>1696</v>
      </c>
      <c r="B53" s="36" t="n">
        <f aca="false">P39</f>
        <v>-19721669.8408617</v>
      </c>
    </row>
    <row r="54" customFormat="false" ht="15" hidden="false" customHeight="true" outlineLevel="0" collapsed="false">
      <c r="A54" s="106" t="s">
        <v>1697</v>
      </c>
      <c r="B54" s="107" t="n">
        <f aca="false">SUM(B47:B53)</f>
        <v>1437735707.46814</v>
      </c>
    </row>
    <row r="55" customFormat="false" ht="15" hidden="false" customHeight="false" outlineLevel="0" collapsed="false">
      <c r="A55" s="1" t="s">
        <v>1698</v>
      </c>
      <c r="B55" s="103" t="n">
        <f aca="false">-MAX(0,B54)*Supuestos!$B$10</f>
        <v>-503207497.61385</v>
      </c>
    </row>
    <row r="56" customFormat="false" ht="15" hidden="false" customHeight="true" outlineLevel="0" collapsed="false">
      <c r="A56" s="108" t="s">
        <v>1699</v>
      </c>
      <c r="B56" s="109" t="n">
        <f aca="false">B54+B55</f>
        <v>934528209.854293</v>
      </c>
      <c r="C56" s="13"/>
    </row>
    <row r="57" customFormat="false" ht="15" hidden="false" customHeight="true" outlineLevel="0" collapsed="false">
      <c r="A57" s="7" t="s">
        <v>1700</v>
      </c>
      <c r="B57" s="110" t="n">
        <f aca="false">B56/B45</f>
        <v>0.109610264849191</v>
      </c>
    </row>
    <row r="58" customFormat="false" ht="15" hidden="false" customHeight="true" outlineLevel="0" collapsed="false">
      <c r="A58" s="7"/>
      <c r="B58" s="63"/>
    </row>
    <row r="59" customFormat="false" ht="15" hidden="false" customHeight="true" outlineLevel="0" collapsed="false">
      <c r="A59" s="106" t="s">
        <v>1701</v>
      </c>
      <c r="B59" s="63"/>
    </row>
    <row r="60" customFormat="false" ht="15" hidden="false" customHeight="true" outlineLevel="0" collapsed="false">
      <c r="A60" s="7" t="s">
        <v>1702</v>
      </c>
      <c r="B60" s="111" t="n">
        <f aca="false">(1+Supuestos!$B$32)^(1/12)-1</f>
        <v>0.0153094704997312</v>
      </c>
    </row>
    <row r="61" customFormat="false" ht="15" hidden="false" customHeight="true" outlineLevel="0" collapsed="false">
      <c r="A61" s="7" t="s">
        <v>1703</v>
      </c>
      <c r="B61" s="86" t="n">
        <f aca="false">B41+NPV(B60,C41:O41)</f>
        <v>940178668.076354</v>
      </c>
    </row>
    <row r="62" customFormat="false" ht="15" hidden="false" customHeight="true" outlineLevel="0" collapsed="false">
      <c r="A62" s="7" t="s">
        <v>1704</v>
      </c>
      <c r="B62" s="86" t="n">
        <f aca="false">MIN(B42:O42)</f>
        <v>-1316122472.80517</v>
      </c>
    </row>
    <row r="63" customFormat="false" ht="15" hidden="false" customHeight="true" outlineLevel="0" collapsed="false">
      <c r="A63" s="7" t="s">
        <v>1705</v>
      </c>
      <c r="B63" s="86" t="n">
        <f aca="false">MAX(0,-B62)</f>
        <v>1316122472.80517</v>
      </c>
    </row>
    <row r="64" customFormat="false" ht="15" hidden="false" customHeight="false" outlineLevel="0" collapsed="false">
      <c r="A64" s="1" t="s">
        <v>1706</v>
      </c>
      <c r="B64" s="103" t="n">
        <f aca="false">Supuestos!$B$90-B63</f>
        <v>183877527.194827</v>
      </c>
    </row>
    <row r="65" customFormat="false" ht="32.25" hidden="false" customHeight="true" outlineLevel="0" collapsed="false">
      <c r="A65" s="101" t="s">
        <v>1707</v>
      </c>
      <c r="B65" s="81" t="n">
        <f aca="false">COUNTIF(B42:O42,"&lt;0")</f>
        <v>2</v>
      </c>
    </row>
    <row r="66" customFormat="false" ht="15" hidden="false" customHeight="false" outlineLevel="0" collapsed="false">
      <c r="A66" s="1" t="s">
        <v>1708</v>
      </c>
      <c r="B66" s="103" t="n">
        <f aca="false">B56/6</f>
        <v>155754701.642382</v>
      </c>
    </row>
    <row r="67" customFormat="false" ht="15" hidden="false" customHeight="false" outlineLevel="0" collapsed="false">
      <c r="A67" s="1" t="s">
        <v>1709</v>
      </c>
      <c r="B67" s="103" t="n">
        <f aca="false">15000000*12</f>
        <v>180000000</v>
      </c>
    </row>
    <row r="68" customFormat="false" ht="15" hidden="false" customHeight="false" outlineLevel="0" collapsed="false">
      <c r="A68" s="1" t="s">
        <v>1710</v>
      </c>
      <c r="B68" s="103" t="n">
        <f aca="false">B67-0.6*Nomina_Kuajo!$E$11/6*12</f>
        <v>122506164</v>
      </c>
    </row>
    <row r="69" customFormat="false" ht="15" hidden="false" customHeight="false" outlineLevel="0" collapsed="false">
      <c r="A69" s="1" t="s">
        <v>1711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0"/>
    <col collapsed="false" customWidth="true" hidden="false" outlineLevel="0" max="12" min="5" style="1" width="15"/>
    <col collapsed="false" customWidth="true" hidden="false" outlineLevel="0" max="13" min="13" style="1" width="17"/>
    <col collapsed="false" customWidth="true" hidden="false" outlineLevel="0" max="14" min="14" style="1" width="9"/>
    <col collapsed="false" customWidth="true" hidden="false" outlineLevel="0" max="15" min="15" style="1" width="30"/>
  </cols>
  <sheetData>
    <row r="1" customFormat="false" ht="17.25" hidden="false" customHeight="true" outlineLevel="0" collapsed="false">
      <c r="A1" s="2" t="s">
        <v>1712</v>
      </c>
    </row>
    <row r="2" customFormat="false" ht="15" hidden="false" customHeight="true" outlineLevel="0" collapsed="false">
      <c r="A2" s="3" t="s">
        <v>1713</v>
      </c>
    </row>
    <row r="4" customFormat="false" ht="23.25" hidden="false" customHeight="true" outlineLevel="0" collapsed="false">
      <c r="A4" s="4" t="s">
        <v>1714</v>
      </c>
      <c r="B4" s="4" t="s">
        <v>1715</v>
      </c>
      <c r="C4" s="4" t="s">
        <v>1716</v>
      </c>
      <c r="D4" s="4" t="s">
        <v>1717</v>
      </c>
      <c r="E4" s="4" t="s">
        <v>1718</v>
      </c>
      <c r="F4" s="4" t="s">
        <v>1719</v>
      </c>
      <c r="G4" s="4" t="s">
        <v>1720</v>
      </c>
      <c r="H4" s="4" t="s">
        <v>1721</v>
      </c>
      <c r="I4" s="4" t="s">
        <v>1722</v>
      </c>
      <c r="J4" s="4" t="s">
        <v>1723</v>
      </c>
      <c r="K4" s="4" t="s">
        <v>1724</v>
      </c>
      <c r="L4" s="4" t="s">
        <v>1725</v>
      </c>
      <c r="M4" s="4" t="s">
        <v>1726</v>
      </c>
      <c r="N4" s="4" t="s">
        <v>818</v>
      </c>
      <c r="O4" s="4" t="s">
        <v>1727</v>
      </c>
    </row>
    <row r="5" customFormat="false" ht="15" hidden="false" customHeight="true" outlineLevel="0" collapsed="false">
      <c r="A5" s="7" t="s">
        <v>1728</v>
      </c>
      <c r="B5" s="43" t="n">
        <v>1</v>
      </c>
      <c r="C5" s="43" t="n">
        <v>1</v>
      </c>
      <c r="D5" s="43" t="n">
        <v>1</v>
      </c>
      <c r="E5" s="32" t="n">
        <f aca="false">(Flujo_Pomar!B13*$B5+Flujo_Pomar!B14*$D5+(Flujo_Pomar!B16+Flujo_Pomar!B17)*$C5)*(1-Supuestos!$B$10)-(Flujo_Pomar!B16+Flujo_Pomar!B17)*$C5+Flujo_Pomar!B22*$C5+Flujo_Pomar!B23+Flujo_Pomar!B25*$B5</f>
        <v>-9227233233.78764</v>
      </c>
      <c r="F5" s="32" t="n">
        <f aca="false">(Flujo_Pomar!C13*$B5+Flujo_Pomar!C14*$D5+(Flujo_Pomar!C16+Flujo_Pomar!C17)*$C5)*(1-Supuestos!$B$10)-(Flujo_Pomar!C16+Flujo_Pomar!C17)*$C5+Flujo_Pomar!C22*$C5+Flujo_Pomar!C23+Flujo_Pomar!C25*$B5</f>
        <v>2541123740.01797</v>
      </c>
      <c r="G5" s="32" t="n">
        <f aca="false">(Flujo_Pomar!D13*$B5+Flujo_Pomar!D14*$D5+(Flujo_Pomar!D16+Flujo_Pomar!D17)*$C5)*(1-Supuestos!$B$10)-(Flujo_Pomar!D16+Flujo_Pomar!D17)*$C5+Flujo_Pomar!D22*$C5+Flujo_Pomar!D23+Flujo_Pomar!D25*$B5</f>
        <v>5273373853.99786</v>
      </c>
      <c r="H5" s="32" t="n">
        <f aca="false">(Flujo_Pomar!E13*$B5+Flujo_Pomar!E14*$D5+(Flujo_Pomar!E16+Flujo_Pomar!E17)*$C5)*(1-Supuestos!$B$10)-(Flujo_Pomar!E16+Flujo_Pomar!E17)*$C5+Flujo_Pomar!E22*$C5+Flujo_Pomar!E23+Flujo_Pomar!E25*$B5</f>
        <v>6056647090.41439</v>
      </c>
      <c r="I5" s="32" t="n">
        <f aca="false">(Flujo_Pomar!F13*$B5+Flujo_Pomar!F14*$D5+(Flujo_Pomar!F16+Flujo_Pomar!F17)*$C5)*(1-Supuestos!$B$10)-(Flujo_Pomar!F16+Flujo_Pomar!F17)*$C5+Flujo_Pomar!F22*$C5+Flujo_Pomar!F23+Flujo_Pomar!F25*$B5</f>
        <v>6285152117.72759</v>
      </c>
      <c r="J5" s="32" t="n">
        <f aca="false">(Flujo_Pomar!G13*$B5+Flujo_Pomar!G14*$D5+(Flujo_Pomar!G16+Flujo_Pomar!G17)*$C5)*(1-Supuestos!$B$10)-(Flujo_Pomar!G16+Flujo_Pomar!G17)*$C5+Flujo_Pomar!G22*$C5+Flujo_Pomar!G23+Flujo_Pomar!G25*$B5</f>
        <v>6522797346.13332</v>
      </c>
      <c r="K5" s="32" t="n">
        <f aca="false">(Flujo_Pomar!H13*$B5+Flujo_Pomar!H14*$D5+(Flujo_Pomar!H16+Flujo_Pomar!H17)*$C5)*(1-Supuestos!$B$10)-(Flujo_Pomar!H16+Flujo_Pomar!H17)*$C5+Flujo_Pomar!H22*$C5+Flujo_Pomar!H23+Flujo_Pomar!H25*$B5</f>
        <v>6678719879.46358</v>
      </c>
      <c r="L5" s="32" t="n">
        <f aca="false">(Flujo_Pomar!I13*$B5+Flujo_Pomar!I14*$D5+(Flujo_Pomar!I16+Flujo_Pomar!I17)*$C5)*(1-Supuestos!$B$10)-(Flujo_Pomar!I16+Flujo_Pomar!I17)*$C5+Flujo_Pomar!I22*$C5+Flujo_Pomar!I23+Flujo_Pomar!I25*$B5</f>
        <v>8718455003.56513</v>
      </c>
      <c r="M5" s="86" t="n">
        <f aca="false">E5+NPV(Supuestos!$B$31,F5:L5)</f>
        <v>15013917609.8275</v>
      </c>
      <c r="N5" s="45" t="n">
        <f aca="false">IFERROR(IRR(E5:L5),"No aplica")</f>
        <v>0.489633110528655</v>
      </c>
      <c r="O5" s="7" t="str">
        <f aca="false">IF(M5&gt;0,"Conviene: VPN positivo","No conviene")</f>
        <v>Conviene: VPN positivo</v>
      </c>
    </row>
    <row r="6" customFormat="false" ht="15" hidden="false" customHeight="true" outlineLevel="0" collapsed="false">
      <c r="A6" s="7" t="s">
        <v>1729</v>
      </c>
      <c r="B6" s="43" t="n">
        <v>0.7</v>
      </c>
      <c r="C6" s="43" t="n">
        <v>1</v>
      </c>
      <c r="D6" s="43" t="n">
        <v>1</v>
      </c>
      <c r="E6" s="32" t="n">
        <f aca="false">(Flujo_Pomar!B13*$B6+Flujo_Pomar!B14*$D6+(Flujo_Pomar!B16+Flujo_Pomar!B17)*$C6)*(1-Supuestos!$B$10)-(Flujo_Pomar!B16+Flujo_Pomar!B17)*$C6+Flujo_Pomar!B22*$C6+Flujo_Pomar!B23+Flujo_Pomar!B25*$B6</f>
        <v>-9227233233.78764</v>
      </c>
      <c r="F6" s="32" t="n">
        <f aca="false">(Flujo_Pomar!C13*$B6+Flujo_Pomar!C14*$D6+(Flujo_Pomar!C16+Flujo_Pomar!C17)*$C6)*(1-Supuestos!$B$10)-(Flujo_Pomar!C16+Flujo_Pomar!C17)*$C6+Flujo_Pomar!C22*$C6+Flujo_Pomar!C23+Flujo_Pomar!C25*$B6</f>
        <v>1762696984.14571</v>
      </c>
      <c r="G6" s="32" t="n">
        <f aca="false">(Flujo_Pomar!D13*$B6+Flujo_Pomar!D14*$D6+(Flujo_Pomar!D16+Flujo_Pomar!D17)*$C6)*(1-Supuestos!$B$10)-(Flujo_Pomar!D16+Flujo_Pomar!D17)*$C6+Flujo_Pomar!D22*$C6+Flujo_Pomar!D23+Flujo_Pomar!D25*$B6</f>
        <v>3670500221.68595</v>
      </c>
      <c r="H6" s="32" t="n">
        <f aca="false">(Flujo_Pomar!E13*$B6+Flujo_Pomar!E14*$D6+(Flujo_Pomar!E16+Flujo_Pomar!E17)*$C6)*(1-Supuestos!$B$10)-(Flujo_Pomar!E16+Flujo_Pomar!E17)*$C6+Flujo_Pomar!E22*$C6+Flujo_Pomar!E23+Flujo_Pomar!E25*$B6</f>
        <v>4213828771.24201</v>
      </c>
      <c r="I6" s="32" t="n">
        <f aca="false">(Flujo_Pomar!F13*$B6+Flujo_Pomar!F14*$D6+(Flujo_Pomar!F16+Flujo_Pomar!F17)*$C6)*(1-Supuestos!$B$10)-(Flujo_Pomar!F16+Flujo_Pomar!F17)*$C6+Flujo_Pomar!F22*$C6+Flujo_Pomar!F23+Flujo_Pomar!F25*$B6</f>
        <v>4368621065.78831</v>
      </c>
      <c r="J6" s="32" t="n">
        <f aca="false">(Flujo_Pomar!G13*$B6+Flujo_Pomar!G14*$D6+(Flujo_Pomar!G16+Flujo_Pomar!G17)*$C6)*(1-Supuestos!$B$10)-(Flujo_Pomar!G16+Flujo_Pomar!G17)*$C6+Flujo_Pomar!G22*$C6+Flujo_Pomar!G23+Flujo_Pomar!G25*$B6</f>
        <v>4529605052.11647</v>
      </c>
      <c r="K6" s="32" t="n">
        <f aca="false">(Flujo_Pomar!H13*$B6+Flujo_Pomar!H14*$D6+(Flujo_Pomar!H16+Flujo_Pomar!H17)*$C6)*(1-Supuestos!$B$10)-(Flujo_Pomar!H16+Flujo_Pomar!H17)*$C6+Flujo_Pomar!H22*$C6+Flujo_Pomar!H23+Flujo_Pomar!H25*$B6</f>
        <v>4605799893.68605</v>
      </c>
      <c r="L6" s="32" t="n">
        <f aca="false">(Flujo_Pomar!I13*$B6+Flujo_Pomar!I14*$D6+(Flujo_Pomar!I16+Flujo_Pomar!I17)*$C6)*(1-Supuestos!$B$10)-(Flujo_Pomar!I16+Flujo_Pomar!I17)*$C6+Flujo_Pomar!I22*$C6+Flujo_Pomar!I23+Flujo_Pomar!I25*$B6</f>
        <v>6027808804.83912</v>
      </c>
      <c r="M6" s="86" t="n">
        <f aca="false">E6+NPV(Supuestos!$B$31,F6:L6)</f>
        <v>7593577947.17409</v>
      </c>
      <c r="N6" s="45" t="n">
        <f aca="false">IFERROR(IRR(E6:L6),"No aplica")</f>
        <v>0.334106262921815</v>
      </c>
      <c r="O6" s="7" t="str">
        <f aca="false">IF(M6&gt;0,"Conviene: VPN positivo","No conviene")</f>
        <v>Conviene: VPN positivo</v>
      </c>
    </row>
    <row r="7" customFormat="false" ht="15" hidden="false" customHeight="true" outlineLevel="0" collapsed="false">
      <c r="A7" s="7" t="s">
        <v>1730</v>
      </c>
      <c r="B7" s="43" t="n">
        <v>0.5</v>
      </c>
      <c r="C7" s="43" t="n">
        <v>1</v>
      </c>
      <c r="D7" s="43" t="n">
        <v>1</v>
      </c>
      <c r="E7" s="32" t="n">
        <f aca="false">(Flujo_Pomar!B13*$B7+Flujo_Pomar!B14*$D7+(Flujo_Pomar!B16+Flujo_Pomar!B17)*$C7)*(1-Supuestos!$B$10)-(Flujo_Pomar!B16+Flujo_Pomar!B17)*$C7+Flujo_Pomar!B22*$C7+Flujo_Pomar!B23+Flujo_Pomar!B25*$B7</f>
        <v>-9227233233.78764</v>
      </c>
      <c r="F7" s="32" t="n">
        <f aca="false">(Flujo_Pomar!C13*$B7+Flujo_Pomar!C14*$D7+(Flujo_Pomar!C16+Flujo_Pomar!C17)*$C7)*(1-Supuestos!$B$10)-(Flujo_Pomar!C16+Flujo_Pomar!C17)*$C7+Flujo_Pomar!C22*$C7+Flujo_Pomar!C23+Flujo_Pomar!C25*$B7</f>
        <v>1243745813.56421</v>
      </c>
      <c r="G7" s="32" t="n">
        <f aca="false">(Flujo_Pomar!D13*$B7+Flujo_Pomar!D14*$D7+(Flujo_Pomar!D16+Flujo_Pomar!D17)*$C7)*(1-Supuestos!$B$10)-(Flujo_Pomar!D16+Flujo_Pomar!D17)*$C7+Flujo_Pomar!D22*$C7+Flujo_Pomar!D23+Flujo_Pomar!D25*$B7</f>
        <v>2601917800.14467</v>
      </c>
      <c r="H7" s="32" t="n">
        <f aca="false">(Flujo_Pomar!E13*$B7+Flujo_Pomar!E14*$D7+(Flujo_Pomar!E16+Flujo_Pomar!E17)*$C7)*(1-Supuestos!$B$10)-(Flujo_Pomar!E16+Flujo_Pomar!E17)*$C7+Flujo_Pomar!E22*$C7+Flujo_Pomar!E23+Flujo_Pomar!E25*$B7</f>
        <v>2985283225.12708</v>
      </c>
      <c r="I7" s="32" t="n">
        <f aca="false">(Flujo_Pomar!F13*$B7+Flujo_Pomar!F14*$D7+(Flujo_Pomar!F16+Flujo_Pomar!F17)*$C7)*(1-Supuestos!$B$10)-(Flujo_Pomar!F16+Flujo_Pomar!F17)*$C7+Flujo_Pomar!F22*$C7+Flujo_Pomar!F23+Flujo_Pomar!F25*$B7</f>
        <v>3090933697.82879</v>
      </c>
      <c r="J7" s="32" t="n">
        <f aca="false">(Flujo_Pomar!G13*$B7+Flujo_Pomar!G14*$D7+(Flujo_Pomar!G16+Flujo_Pomar!G17)*$C7)*(1-Supuestos!$B$10)-(Flujo_Pomar!G16+Flujo_Pomar!G17)*$C7+Flujo_Pomar!G22*$C7+Flujo_Pomar!G23+Flujo_Pomar!G25*$B7</f>
        <v>3200810189.43857</v>
      </c>
      <c r="K7" s="32" t="n">
        <f aca="false">(Flujo_Pomar!H13*$B7+Flujo_Pomar!H14*$D7+(Flujo_Pomar!H16+Flujo_Pomar!H17)*$C7)*(1-Supuestos!$B$10)-(Flujo_Pomar!H16+Flujo_Pomar!H17)*$C7+Flujo_Pomar!H22*$C7+Flujo_Pomar!H23+Flujo_Pomar!H25*$B7</f>
        <v>3223853236.50104</v>
      </c>
      <c r="L7" s="32" t="n">
        <f aca="false">(Flujo_Pomar!I13*$B7+Flujo_Pomar!I14*$D7+(Flujo_Pomar!I16+Flujo_Pomar!I17)*$C7)*(1-Supuestos!$B$10)-(Flujo_Pomar!I16+Flujo_Pomar!I17)*$C7+Flujo_Pomar!I22*$C7+Flujo_Pomar!I23+Flujo_Pomar!I25*$B7</f>
        <v>4234044672.35512</v>
      </c>
      <c r="M7" s="86" t="n">
        <f aca="false">E7+NPV(Supuestos!$B$31,F7:L7)</f>
        <v>2646684838.73847</v>
      </c>
      <c r="N7" s="45" t="n">
        <f aca="false">IFERROR(IRR(E7:L7),"No aplica")</f>
        <v>0.212778593189537</v>
      </c>
      <c r="O7" s="7" t="str">
        <f aca="false">IF(M7&gt;0,"Conviene: VPN positivo","No conviene")</f>
        <v>Conviene: VPN positivo</v>
      </c>
    </row>
    <row r="8" customFormat="false" ht="15" hidden="false" customHeight="true" outlineLevel="0" collapsed="false">
      <c r="A8" s="7" t="s">
        <v>1731</v>
      </c>
      <c r="B8" s="43" t="n">
        <v>1</v>
      </c>
      <c r="C8" s="43" t="n">
        <v>1.2</v>
      </c>
      <c r="D8" s="43" t="n">
        <v>1</v>
      </c>
      <c r="E8" s="32" t="n">
        <f aca="false">(Flujo_Pomar!B13*$B8+Flujo_Pomar!B14*$D8+(Flujo_Pomar!B16+Flujo_Pomar!B17)*$C8)*(1-Supuestos!$B$10)-(Flujo_Pomar!B16+Flujo_Pomar!B17)*$C8+Flujo_Pomar!B22*$C8+Flujo_Pomar!B23+Flujo_Pomar!B25*$B8</f>
        <v>-10932416979.3795</v>
      </c>
      <c r="F8" s="32" t="n">
        <f aca="false">(Flujo_Pomar!C13*$B8+Flujo_Pomar!C14*$D8+(Flujo_Pomar!C16+Flujo_Pomar!C17)*$C8)*(1-Supuestos!$B$10)-(Flujo_Pomar!C16+Flujo_Pomar!C17)*$C8+Flujo_Pomar!C22*$C8+Flujo_Pomar!C23+Flujo_Pomar!C25*$B8</f>
        <v>2609928021.53485</v>
      </c>
      <c r="G8" s="32" t="n">
        <f aca="false">(Flujo_Pomar!D13*$B8+Flujo_Pomar!D14*$D8+(Flujo_Pomar!D16+Flujo_Pomar!D17)*$C8)*(1-Supuestos!$B$10)-(Flujo_Pomar!D16+Flujo_Pomar!D17)*$C8+Flujo_Pomar!D22*$C8+Flujo_Pomar!D23+Flujo_Pomar!D25*$B8</f>
        <v>5342178135.51474</v>
      </c>
      <c r="H8" s="32" t="n">
        <f aca="false">(Flujo_Pomar!E13*$B8+Flujo_Pomar!E14*$D8+(Flujo_Pomar!E16+Flujo_Pomar!E17)*$C8)*(1-Supuestos!$B$10)-(Flujo_Pomar!E16+Flujo_Pomar!E17)*$C8+Flujo_Pomar!E22*$C8+Flujo_Pomar!E23+Flujo_Pomar!E25*$B8</f>
        <v>6125451371.93128</v>
      </c>
      <c r="I8" s="32" t="n">
        <f aca="false">(Flujo_Pomar!F13*$B8+Flujo_Pomar!F14*$D8+(Flujo_Pomar!F16+Flujo_Pomar!F17)*$C8)*(1-Supuestos!$B$10)-(Flujo_Pomar!F16+Flujo_Pomar!F17)*$C8+Flujo_Pomar!F22*$C8+Flujo_Pomar!F23+Flujo_Pomar!F25*$B8</f>
        <v>6353956399.24448</v>
      </c>
      <c r="J8" s="32" t="n">
        <f aca="false">(Flujo_Pomar!G13*$B8+Flujo_Pomar!G14*$D8+(Flujo_Pomar!G16+Flujo_Pomar!G17)*$C8)*(1-Supuestos!$B$10)-(Flujo_Pomar!G16+Flujo_Pomar!G17)*$C8+Flujo_Pomar!G22*$C8+Flujo_Pomar!G23+Flujo_Pomar!G25*$B8</f>
        <v>6591601627.6502</v>
      </c>
      <c r="K8" s="32" t="n">
        <f aca="false">(Flujo_Pomar!H13*$B8+Flujo_Pomar!H14*$D8+(Flujo_Pomar!H16+Flujo_Pomar!H17)*$C8)*(1-Supuestos!$B$10)-(Flujo_Pomar!H16+Flujo_Pomar!H17)*$C8+Flujo_Pomar!H22*$C8+Flujo_Pomar!H23+Flujo_Pomar!H25*$B8</f>
        <v>6729278460.13813</v>
      </c>
      <c r="L8" s="32" t="n">
        <f aca="false">(Flujo_Pomar!I13*$B8+Flujo_Pomar!I14*$D8+(Flujo_Pomar!I16+Flujo_Pomar!I17)*$C8)*(1-Supuestos!$B$10)-(Flujo_Pomar!I16+Flujo_Pomar!I17)*$C8+Flujo_Pomar!I22*$C8+Flujo_Pomar!I23+Flujo_Pomar!I25*$B8</f>
        <v>8769013584.23967</v>
      </c>
      <c r="M8" s="86" t="n">
        <f aca="false">E8+NPV(Supuestos!$B$31,F8:L8)</f>
        <v>13590381011.1974</v>
      </c>
      <c r="N8" s="45" t="n">
        <f aca="false">IFERROR(IRR(E8:L8),"No aplica")</f>
        <v>0.418917408515865</v>
      </c>
      <c r="O8" s="7" t="str">
        <f aca="false">IF(M8&gt;0,"Conviene: VPN positivo","No conviene")</f>
        <v>Conviene: VPN positivo</v>
      </c>
    </row>
    <row r="9" customFormat="false" ht="15" hidden="false" customHeight="true" outlineLevel="0" collapsed="false">
      <c r="A9" s="7" t="s">
        <v>1732</v>
      </c>
      <c r="B9" s="43" t="n">
        <v>1</v>
      </c>
      <c r="C9" s="112" t="n">
        <f aca="false">1+0.15*SUMIFS(Cotizaciones!$J$5:$J$70,Cotizaciones!$G$5:$G$70,"USD")*(1+Supuestos!$B$50)*(1+Supuestos!$B$51)/(1-Supuestos!$B$52)/Precio_Kuajo!$C$19</f>
        <v>1.08816156113245</v>
      </c>
      <c r="D9" s="43" t="n">
        <v>1</v>
      </c>
      <c r="E9" s="32" t="n">
        <f aca="false">(Flujo_Pomar!B13*$B9+Flujo_Pomar!B14*$D9+(Flujo_Pomar!B16+Flujo_Pomar!B17)*$C9)*(1-Supuestos!$B$10)-(Flujo_Pomar!B16+Flujo_Pomar!B17)*$C9+Flujo_Pomar!B22*$C9+Flujo_Pomar!B23+Flujo_Pomar!B25*$B9</f>
        <v>-9978891538.93294</v>
      </c>
      <c r="F9" s="32" t="n">
        <f aca="false">(Flujo_Pomar!C13*$B9+Flujo_Pomar!C14*$D9+(Flujo_Pomar!C16+Flujo_Pomar!C17)*$C9)*(1-Supuestos!$B$10)-(Flujo_Pomar!C16+Flujo_Pomar!C17)*$C9+Flujo_Pomar!C22*$C9+Flujo_Pomar!C23+Flujo_Pomar!C25*$B9</f>
        <v>2571453204.37359</v>
      </c>
      <c r="G9" s="32" t="n">
        <f aca="false">(Flujo_Pomar!D13*$B9+Flujo_Pomar!D14*$D9+(Flujo_Pomar!D16+Flujo_Pomar!D17)*$C9)*(1-Supuestos!$B$10)-(Flujo_Pomar!D16+Flujo_Pomar!D17)*$C9+Flujo_Pomar!D22*$C9+Flujo_Pomar!D23+Flujo_Pomar!D25*$B9</f>
        <v>5303703318.35348</v>
      </c>
      <c r="H9" s="32" t="n">
        <f aca="false">(Flujo_Pomar!E13*$B9+Flujo_Pomar!E14*$D9+(Flujo_Pomar!E16+Flujo_Pomar!E17)*$C9)*(1-Supuestos!$B$10)-(Flujo_Pomar!E16+Flujo_Pomar!E17)*$C9+Flujo_Pomar!E22*$C9+Flujo_Pomar!E23+Flujo_Pomar!E25*$B9</f>
        <v>6086976554.77002</v>
      </c>
      <c r="I9" s="32" t="n">
        <f aca="false">(Flujo_Pomar!F13*$B9+Flujo_Pomar!F14*$D9+(Flujo_Pomar!F16+Flujo_Pomar!F17)*$C9)*(1-Supuestos!$B$10)-(Flujo_Pomar!F16+Flujo_Pomar!F17)*$C9+Flujo_Pomar!F22*$C9+Flujo_Pomar!F23+Flujo_Pomar!F25*$B9</f>
        <v>6315481582.08322</v>
      </c>
      <c r="J9" s="32" t="n">
        <f aca="false">(Flujo_Pomar!G13*$B9+Flujo_Pomar!G14*$D9+(Flujo_Pomar!G16+Flujo_Pomar!G17)*$C9)*(1-Supuestos!$B$10)-(Flujo_Pomar!G16+Flujo_Pomar!G17)*$C9+Flujo_Pomar!G22*$C9+Flujo_Pomar!G23+Flujo_Pomar!G25*$B9</f>
        <v>6553126810.48895</v>
      </c>
      <c r="K9" s="32" t="n">
        <f aca="false">(Flujo_Pomar!H13*$B9+Flujo_Pomar!H14*$D9+(Flujo_Pomar!H16+Flujo_Pomar!H17)*$C9)*(1-Supuestos!$B$10)-(Flujo_Pomar!H16+Flujo_Pomar!H17)*$C9+Flujo_Pomar!H22*$C9+Flujo_Pomar!H23+Flujo_Pomar!H25*$B9</f>
        <v>6701006496.46813</v>
      </c>
      <c r="L9" s="32" t="n">
        <f aca="false">(Flujo_Pomar!I13*$B9+Flujo_Pomar!I14*$D9+(Flujo_Pomar!I16+Flujo_Pomar!I17)*$C9)*(1-Supuestos!$B$10)-(Flujo_Pomar!I16+Flujo_Pomar!I17)*$C9+Flujo_Pomar!I22*$C9+Flujo_Pomar!I23+Flujo_Pomar!I25*$B9</f>
        <v>8740741620.56967</v>
      </c>
      <c r="M9" s="86" t="n">
        <f aca="false">E9+NPV(Supuestos!$B$31,F9:L9)</f>
        <v>14386411565.5055</v>
      </c>
      <c r="N9" s="45" t="n">
        <f aca="false">IFERROR(IRR(E9:L9),"No aplica")</f>
        <v>0.456059405136637</v>
      </c>
      <c r="O9" s="7" t="str">
        <f aca="false">IF(M9&gt;0,"Conviene: VPN positivo","No conviene")</f>
        <v>Conviene: VPN positivo</v>
      </c>
    </row>
    <row r="10" customFormat="false" ht="15" hidden="false" customHeight="true" outlineLevel="0" collapsed="false">
      <c r="A10" s="7" t="s">
        <v>1733</v>
      </c>
      <c r="B10" s="43" t="n">
        <v>1</v>
      </c>
      <c r="C10" s="43" t="n">
        <v>1</v>
      </c>
      <c r="D10" s="43" t="n">
        <v>1.3</v>
      </c>
      <c r="E10" s="32" t="n">
        <f aca="false">(Flujo_Pomar!B13*$B10+Flujo_Pomar!B14*$D10+(Flujo_Pomar!B16+Flujo_Pomar!B17)*$C10)*(1-Supuestos!$B$10)-(Flujo_Pomar!B16+Flujo_Pomar!B17)*$C10+Flujo_Pomar!B22*$C10+Flujo_Pomar!B23+Flujo_Pomar!B25*$B10</f>
        <v>-9227233233.78764</v>
      </c>
      <c r="F10" s="32" t="n">
        <f aca="false">(Flujo_Pomar!C13*$B10+Flujo_Pomar!C14*$D10+(Flujo_Pomar!C16+Flujo_Pomar!C17)*$C10)*(1-Supuestos!$B$10)-(Flujo_Pomar!C16+Flujo_Pomar!C17)*$C10+Flujo_Pomar!C22*$C10+Flujo_Pomar!C23+Flujo_Pomar!C25*$B10</f>
        <v>2421827683.87578</v>
      </c>
      <c r="G10" s="32" t="n">
        <f aca="false">(Flujo_Pomar!D13*$B10+Flujo_Pomar!D14*$D10+(Flujo_Pomar!D16+Flujo_Pomar!D17)*$C10)*(1-Supuestos!$B$10)-(Flujo_Pomar!D16+Flujo_Pomar!D17)*$C10+Flujo_Pomar!D22*$C10+Flujo_Pomar!D23+Flujo_Pomar!D25*$B10</f>
        <v>5149305955.60998</v>
      </c>
      <c r="H10" s="32" t="n">
        <f aca="false">(Flujo_Pomar!E13*$B10+Flujo_Pomar!E14*$D10+(Flujo_Pomar!E16+Flujo_Pomar!E17)*$C10)*(1-Supuestos!$B$10)-(Flujo_Pomar!E16+Flujo_Pomar!E17)*$C10+Flujo_Pomar!E22*$C10+Flujo_Pomar!E23+Flujo_Pomar!E25*$B10</f>
        <v>5927616476.091</v>
      </c>
      <c r="I10" s="32" t="n">
        <f aca="false">(Flujo_Pomar!F13*$B10+Flujo_Pomar!F14*$D10+(Flujo_Pomar!F16+Flujo_Pomar!F17)*$C10)*(1-Supuestos!$B$10)-(Flujo_Pomar!F16+Flujo_Pomar!F17)*$C10+Flujo_Pomar!F22*$C10+Flujo_Pomar!F23+Flujo_Pomar!F25*$B10</f>
        <v>6150960278.83126</v>
      </c>
      <c r="J10" s="32" t="n">
        <f aca="false">(Flujo_Pomar!G13*$B10+Flujo_Pomar!G14*$D10+(Flujo_Pomar!G16+Flujo_Pomar!G17)*$C10)*(1-Supuestos!$B$10)-(Flujo_Pomar!G16+Flujo_Pomar!G17)*$C10+Flujo_Pomar!G22*$C10+Flujo_Pomar!G23+Flujo_Pomar!G25*$B10</f>
        <v>6383237833.68114</v>
      </c>
      <c r="K10" s="32" t="n">
        <f aca="false">(Flujo_Pomar!H13*$B10+Flujo_Pomar!H14*$D10+(Flujo_Pomar!H16+Flujo_Pomar!H17)*$C10)*(1-Supuestos!$B$10)-(Flujo_Pomar!H16+Flujo_Pomar!H17)*$C10+Flujo_Pomar!H22*$C10+Flujo_Pomar!H23+Flujo_Pomar!H25*$B10</f>
        <v>6533577986.51331</v>
      </c>
      <c r="L10" s="32" t="n">
        <f aca="false">(Flujo_Pomar!I13*$B10+Flujo_Pomar!I14*$D10+(Flujo_Pomar!I16+Flujo_Pomar!I17)*$C10)*(1-Supuestos!$B$10)-(Flujo_Pomar!I16+Flujo_Pomar!I17)*$C10+Flujo_Pomar!I22*$C10+Flujo_Pomar!I23+Flujo_Pomar!I25*$B10</f>
        <v>8567507434.89684</v>
      </c>
      <c r="M10" s="86" t="n">
        <f aca="false">E10+NPV(Supuestos!$B$31,F10:L10)</f>
        <v>14443452479.816</v>
      </c>
      <c r="N10" s="45" t="n">
        <f aca="false">IFERROR(IRR(E10:L10),"No aplica")</f>
        <v>0.477057966342465</v>
      </c>
      <c r="O10" s="7" t="str">
        <f aca="false">IF(M10&gt;0,"Conviene: VPN positivo","No conviene")</f>
        <v>Conviene: VPN positivo</v>
      </c>
    </row>
    <row r="11" customFormat="false" ht="15" hidden="false" customHeight="true" outlineLevel="0" collapsed="false">
      <c r="A11" s="7" t="s">
        <v>1734</v>
      </c>
      <c r="B11" s="43" t="n">
        <v>0.7</v>
      </c>
      <c r="C11" s="43" t="n">
        <v>1.2</v>
      </c>
      <c r="D11" s="43" t="n">
        <v>1.3</v>
      </c>
      <c r="E11" s="32" t="n">
        <f aca="false">(Flujo_Pomar!B13*$B11+Flujo_Pomar!B14*$D11+(Flujo_Pomar!B16+Flujo_Pomar!B17)*$C11)*(1-Supuestos!$B$10)-(Flujo_Pomar!B16+Flujo_Pomar!B17)*$C11+Flujo_Pomar!B22*$C11+Flujo_Pomar!B23+Flujo_Pomar!B25*$B11</f>
        <v>-10932416979.3795</v>
      </c>
      <c r="F11" s="32" t="n">
        <f aca="false">(Flujo_Pomar!C13*$B11+Flujo_Pomar!C14*$D11+(Flujo_Pomar!C16+Flujo_Pomar!C17)*$C11)*(1-Supuestos!$B$10)-(Flujo_Pomar!C16+Flujo_Pomar!C17)*$C11+Flujo_Pomar!C22*$C11+Flujo_Pomar!C23+Flujo_Pomar!C25*$B11</f>
        <v>1712205209.52041</v>
      </c>
      <c r="G11" s="32" t="n">
        <f aca="false">(Flujo_Pomar!D13*$B11+Flujo_Pomar!D14*$D11+(Flujo_Pomar!D16+Flujo_Pomar!D17)*$C11)*(1-Supuestos!$B$10)-(Flujo_Pomar!D16+Flujo_Pomar!D17)*$C11+Flujo_Pomar!D22*$C11+Flujo_Pomar!D23+Flujo_Pomar!D25*$B11</f>
        <v>3615236604.81495</v>
      </c>
      <c r="H11" s="32" t="n">
        <f aca="false">(Flujo_Pomar!E13*$B11+Flujo_Pomar!E14*$D11+(Flujo_Pomar!E16+Flujo_Pomar!E17)*$C11)*(1-Supuestos!$B$10)-(Flujo_Pomar!E16+Flujo_Pomar!E17)*$C11+Flujo_Pomar!E22*$C11+Flujo_Pomar!E23+Flujo_Pomar!E25*$B11</f>
        <v>4153602438.4355</v>
      </c>
      <c r="I11" s="32" t="n">
        <f aca="false">(Flujo_Pomar!F13*$B11+Flujo_Pomar!F14*$D11+(Flujo_Pomar!F16+Flujo_Pomar!F17)*$C11)*(1-Supuestos!$B$10)-(Flujo_Pomar!F16+Flujo_Pomar!F17)*$C11+Flujo_Pomar!F22*$C11+Flujo_Pomar!F23+Flujo_Pomar!F25*$B11</f>
        <v>4303233508.40887</v>
      </c>
      <c r="J11" s="32" t="n">
        <f aca="false">(Flujo_Pomar!G13*$B11+Flujo_Pomar!G14*$D11+(Flujo_Pomar!G16+Flujo_Pomar!G17)*$C11)*(1-Supuestos!$B$10)-(Flujo_Pomar!G16+Flujo_Pomar!G17)*$C11+Flujo_Pomar!G22*$C11+Flujo_Pomar!G23+Flujo_Pomar!G25*$B11</f>
        <v>4458849821.18117</v>
      </c>
      <c r="K11" s="32" t="n">
        <f aca="false">(Flujo_Pomar!H13*$B11+Flujo_Pomar!H14*$D11+(Flujo_Pomar!H16+Flujo_Pomar!H17)*$C11)*(1-Supuestos!$B$10)-(Flujo_Pomar!H16+Flujo_Pomar!H17)*$C11+Flujo_Pomar!H22*$C11+Flujo_Pomar!H23+Flujo_Pomar!H25*$B11</f>
        <v>4511216581.41033</v>
      </c>
      <c r="L11" s="32" t="n">
        <f aca="false">(Flujo_Pomar!I13*$B11+Flujo_Pomar!I14*$D11+(Flujo_Pomar!I16+Flujo_Pomar!I17)*$C11)*(1-Supuestos!$B$10)-(Flujo_Pomar!I16+Flujo_Pomar!I17)*$C11+Flujo_Pomar!I22*$C11+Flujo_Pomar!I23+Flujo_Pomar!I25*$B11</f>
        <v>5927419816.84539</v>
      </c>
      <c r="M11" s="86" t="n">
        <f aca="false">E11+NPV(Supuestos!$B$31,F11:L11)</f>
        <v>5599576218.53247</v>
      </c>
      <c r="N11" s="45" t="n">
        <f aca="false">IFERROR(IRR(E11:L11),"No aplica")</f>
        <v>0.266057163366718</v>
      </c>
      <c r="O11" s="7" t="str">
        <f aca="false">IF(M11&gt;0,"Conviene: VPN positivo","No conviene")</f>
        <v>Conviene: VPN positivo</v>
      </c>
    </row>
    <row r="12" customFormat="false" ht="15" hidden="false" customHeight="true" outlineLevel="0" collapsed="false">
      <c r="A12" s="7" t="s">
        <v>1735</v>
      </c>
      <c r="B12" s="43" t="n">
        <v>1.15</v>
      </c>
      <c r="C12" s="43" t="n">
        <v>0.95</v>
      </c>
      <c r="D12" s="43" t="n">
        <v>1</v>
      </c>
      <c r="E12" s="32" t="n">
        <f aca="false">(Flujo_Pomar!B13*$B12+Flujo_Pomar!B14*$D12+(Flujo_Pomar!B16+Flujo_Pomar!B17)*$C12)*(1-Supuestos!$B$10)-(Flujo_Pomar!B16+Flujo_Pomar!B17)*$C12+Flujo_Pomar!B22*$C12+Flujo_Pomar!B23+Flujo_Pomar!B25*$B12</f>
        <v>-8800937297.38967</v>
      </c>
      <c r="F12" s="32" t="n">
        <f aca="false">(Flujo_Pomar!C13*$B12+Flujo_Pomar!C14*$D12+(Flujo_Pomar!C16+Flujo_Pomar!C17)*$C12)*(1-Supuestos!$B$10)-(Flujo_Pomar!C16+Flujo_Pomar!C17)*$C12+Flujo_Pomar!C22*$C12+Flujo_Pomar!C23+Flujo_Pomar!C25*$B12</f>
        <v>2913136047.57488</v>
      </c>
      <c r="G12" s="32" t="n">
        <f aca="false">(Flujo_Pomar!D13*$B12+Flujo_Pomar!D14*$D12+(Flujo_Pomar!D16+Flujo_Pomar!D17)*$C12)*(1-Supuestos!$B$10)-(Flujo_Pomar!D16+Flujo_Pomar!D17)*$C12+Flujo_Pomar!D22*$C12+Flujo_Pomar!D23+Flujo_Pomar!D25*$B12</f>
        <v>6057609599.77459</v>
      </c>
      <c r="H12" s="32" t="n">
        <f aca="false">(Flujo_Pomar!E13*$B12+Flujo_Pomar!E14*$D12+(Flujo_Pomar!E16+Flujo_Pomar!E17)*$C12)*(1-Supuestos!$B$10)-(Flujo_Pomar!E16+Flujo_Pomar!E17)*$C12+Flujo_Pomar!E22*$C12+Flujo_Pomar!E23+Flujo_Pomar!E25*$B12</f>
        <v>6960855179.62136</v>
      </c>
      <c r="I12" s="32" t="n">
        <f aca="false">(Flujo_Pomar!F13*$B12+Flujo_Pomar!F14*$D12+(Flujo_Pomar!F16+Flujo_Pomar!F17)*$C12)*(1-Supuestos!$B$10)-(Flujo_Pomar!F16+Flujo_Pomar!F17)*$C12+Flujo_Pomar!F22*$C12+Flujo_Pomar!F23+Flujo_Pomar!F25*$B12</f>
        <v>7226216573.31801</v>
      </c>
      <c r="J12" s="32" t="n">
        <f aca="false">(Flujo_Pomar!G13*$B12+Flujo_Pomar!G14*$D12+(Flujo_Pomar!G16+Flujo_Pomar!G17)*$C12)*(1-Supuestos!$B$10)-(Flujo_Pomar!G16+Flujo_Pomar!G17)*$C12+Flujo_Pomar!G22*$C12+Flujo_Pomar!G23+Flujo_Pomar!G25*$B12</f>
        <v>7502192422.76252</v>
      </c>
      <c r="K12" s="32" t="n">
        <f aca="false">(Flujo_Pomar!H13*$B12+Flujo_Pomar!H14*$D12+(Flujo_Pomar!H16+Flujo_Pomar!H17)*$C12)*(1-Supuestos!$B$10)-(Flujo_Pomar!H16+Flujo_Pomar!H17)*$C12+Flujo_Pomar!H22*$C12+Flujo_Pomar!H23+Flujo_Pomar!H25*$B12</f>
        <v>7702540227.18371</v>
      </c>
      <c r="L12" s="32" t="n">
        <f aca="false">(Flujo_Pomar!I13*$B12+Flujo_Pomar!I14*$D12+(Flujo_Pomar!I16+Flujo_Pomar!I17)*$C12)*(1-Supuestos!$B$10)-(Flujo_Pomar!I16+Flujo_Pomar!I17)*$C12+Flujo_Pomar!I22*$C12+Flujo_Pomar!I23+Flujo_Pomar!I25*$B12</f>
        <v>10051138457.7595</v>
      </c>
      <c r="M12" s="86" t="n">
        <f aca="false">E12+NPV(Supuestos!$B$31,F12:L12)</f>
        <v>19079971590.8118</v>
      </c>
      <c r="N12" s="45" t="n">
        <f aca="false">IFERROR(IRR(E12:L12),"No aplica")</f>
        <v>0.583603154878991</v>
      </c>
      <c r="O12" s="7" t="str">
        <f aca="false">IF(M12&gt;0,"Conviene: VPN positivo","No conviene")</f>
        <v>Conviene: VPN positivo</v>
      </c>
    </row>
    <row r="13" customFormat="false" ht="15" hidden="false" customHeight="true" outlineLevel="0" collapsed="false">
      <c r="A13" s="7" t="s">
        <v>1736</v>
      </c>
      <c r="B13" s="112" t="n">
        <f aca="false">1-Beneficios_OPEX!$B$30/Beneficios_OPEX!$B$35</f>
        <v>0.227642004727864</v>
      </c>
      <c r="C13" s="43" t="n">
        <v>1</v>
      </c>
      <c r="D13" s="43" t="n">
        <v>1</v>
      </c>
      <c r="E13" s="32" t="n">
        <f aca="false">((Flujo_Pomar!B13-Flujo_Pomar!B8)+Flujo_Pomar!B14*$D13+(Flujo_Pomar!B16+Flujo_Pomar!B17)*$C13)*(1-Supuestos!$B$10)-(Flujo_Pomar!B16+Flujo_Pomar!B17)*$C13+Flujo_Pomar!B22*$C13+Flujo_Pomar!B23+0</f>
        <v>-9227233233.78764</v>
      </c>
      <c r="F13" s="32" t="n">
        <f aca="false">((Flujo_Pomar!C13-Flujo_Pomar!C8)+Flujo_Pomar!C14*$D13+(Flujo_Pomar!C16+Flujo_Pomar!C17)*$C13)*(1-Supuestos!$B$10)-(Flujo_Pomar!C16+Flujo_Pomar!C17)*$C13+Flujo_Pomar!C22*$C13+Flujo_Pomar!C23+0</f>
        <v>729477132.694338</v>
      </c>
      <c r="G13" s="32" t="n">
        <f aca="false">((Flujo_Pomar!D13-Flujo_Pomar!D8)+Flujo_Pomar!D14*$D13+(Flujo_Pomar!D16+Flujo_Pomar!D17)*$C13)*(1-Supuestos!$B$10)-(Flujo_Pomar!D16+Flujo_Pomar!D17)*$C13+Flujo_Pomar!D22*$C13+Flujo_Pomar!D23+0</f>
        <v>1287851105.30356</v>
      </c>
      <c r="H13" s="32" t="n">
        <f aca="false">((Flujo_Pomar!E13-Flujo_Pomar!E8)+Flujo_Pomar!E14*$D13+(Flujo_Pomar!E16+Flujo_Pomar!E17)*$C13)*(1-Supuestos!$B$10)-(Flujo_Pomar!E16+Flujo_Pomar!E17)*$C13+Flujo_Pomar!E22*$C13+Flujo_Pomar!E23+0</f>
        <v>1325604293.21233</v>
      </c>
      <c r="I13" s="32" t="n">
        <f aca="false">((Flujo_Pomar!F13-Flujo_Pomar!F8)+Flujo_Pomar!F14*$D13+(Flujo_Pomar!F16+Flujo_Pomar!F17)*$C13)*(1-Supuestos!$B$10)-(Flujo_Pomar!F16+Flujo_Pomar!F17)*$C13+Flujo_Pomar!F22*$C13+Flujo_Pomar!F23+0</f>
        <v>1364867608.63745</v>
      </c>
      <c r="J13" s="32" t="n">
        <f aca="false">((Flujo_Pomar!G13-Flujo_Pomar!G8)+Flujo_Pomar!G14*$D13+(Flujo_Pomar!G16+Flujo_Pomar!G17)*$C13)*(1-Supuestos!$B$10)-(Flujo_Pomar!G16+Flujo_Pomar!G17)*$C13+Flujo_Pomar!G22*$C13+Flujo_Pomar!G23+0</f>
        <v>1405701456.67957</v>
      </c>
      <c r="K13" s="32" t="n">
        <f aca="false">((Flujo_Pomar!H13-Flujo_Pomar!H8)+Flujo_Pomar!H14*$D13+(Flujo_Pomar!H16+Flujo_Pomar!H17)*$C13)*(1-Supuestos!$B$10)-(Flujo_Pomar!H16+Flujo_Pomar!H17)*$C13+Flujo_Pomar!H22*$C13+Flujo_Pomar!H23+0</f>
        <v>1356940154.43168</v>
      </c>
      <c r="L13" s="32" t="n">
        <f aca="false">((Flujo_Pomar!I13-Flujo_Pomar!I8)+Flujo_Pomar!I14*$D13+(Flujo_Pomar!I16+Flujo_Pomar!I17)*$C13)*(1-Supuestos!$B$10)-(Flujo_Pomar!I16+Flujo_Pomar!I17)*$C13+Flujo_Pomar!I22*$C13+Flujo_Pomar!I23+0</f>
        <v>1401106044.47404</v>
      </c>
      <c r="M13" s="86" t="n">
        <f aca="false">E13+NPV(Supuestos!$B$31,F13:L13)</f>
        <v>-3938301605.28592</v>
      </c>
      <c r="N13" s="45" t="n">
        <f aca="false">IFERROR(IRR(E13:L13),"No aplica")</f>
        <v>-0.00916750450509609</v>
      </c>
      <c r="O13" s="7" t="str">
        <f aca="false">IF(M13&gt;0,"Conviene: VPN positivo","No conviene")</f>
        <v>No conviene</v>
      </c>
    </row>
    <row r="15" customFormat="false" ht="23.25" hidden="false" customHeight="true" outlineLevel="0" collapsed="false">
      <c r="A15" s="7" t="s">
        <v>1737</v>
      </c>
      <c r="M15" s="32" t="n">
        <f aca="false">M5-Flujo_Pomar!$B$33</f>
        <v>0</v>
      </c>
    </row>
    <row r="16" customFormat="false" ht="57" hidden="false" customHeight="true" outlineLevel="0" collapsed="false">
      <c r="A16" s="5" t="s">
        <v>1738</v>
      </c>
      <c r="M16" s="45" t="n">
        <f aca="false">1-M5/((M5-M6)/0.3)</f>
        <v>0.392996077306573</v>
      </c>
      <c r="O16" s="7" t="s">
        <v>1739</v>
      </c>
    </row>
    <row r="18" customFormat="false" ht="15" hidden="false" customHeight="false" outlineLevel="0" collapsed="false">
      <c r="A18" s="54" t="s">
        <v>1740</v>
      </c>
    </row>
    <row r="19" customFormat="false" ht="15" hidden="false" customHeight="false" outlineLevel="0" collapsed="false">
      <c r="A19" s="1" t="s">
        <v>1741</v>
      </c>
      <c r="M19" s="86" t="n">
        <f aca="false">Flujo_Pomar!$B$26+NPV(0.16,Flujo_Pomar!$C$26:$I$26)</f>
        <v>13165501885.1545</v>
      </c>
    </row>
    <row r="20" customFormat="false" ht="15" hidden="false" customHeight="false" outlineLevel="0" collapsed="false">
      <c r="A20" s="1" t="s">
        <v>1742</v>
      </c>
      <c r="M20" s="86" t="n">
        <f aca="false">Flujo_Pomar!$B$26+NPV(0.18,Flujo_Pomar!$C$26:$I$26)</f>
        <v>11703714997.2603</v>
      </c>
    </row>
    <row r="21" customFormat="false" ht="15" hidden="false" customHeight="false" outlineLevel="0" collapsed="false">
      <c r="A21" s="1" t="s">
        <v>1743</v>
      </c>
      <c r="M21" s="86" t="n">
        <f aca="false">Flujo_Pomar!$B$26+NPV(0.2,Flujo_Pomar!$C$26:$I$26)</f>
        <v>10379689688.3166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4" min="3" style="1" width="62"/>
    <col collapsed="false" customWidth="true" hidden="false" outlineLevel="0" max="5" min="5" style="1" width="18"/>
    <col collapsed="false" customWidth="true" hidden="false" outlineLevel="0" max="6" min="6" style="1" width="11"/>
    <col collapsed="false" customWidth="true" hidden="false" outlineLevel="0" max="7" min="7" style="1" width="18"/>
    <col collapsed="false" customWidth="true" hidden="false" outlineLevel="0" max="8" min="8" style="1" width="11"/>
  </cols>
  <sheetData>
    <row r="1" customFormat="false" ht="17.25" hidden="false" customHeight="true" outlineLevel="0" collapsed="false">
      <c r="A1" s="2" t="s">
        <v>1744</v>
      </c>
    </row>
    <row r="2" customFormat="false" ht="15" hidden="false" customHeight="true" outlineLevel="0" collapsed="false">
      <c r="A2" s="3" t="s">
        <v>1745</v>
      </c>
    </row>
    <row r="4" customFormat="false" ht="34.5" hidden="false" customHeight="true" outlineLevel="0" collapsed="false">
      <c r="A4" s="4" t="s">
        <v>1346</v>
      </c>
      <c r="B4" s="4" t="s">
        <v>1746</v>
      </c>
      <c r="C4" s="4" t="s">
        <v>1747</v>
      </c>
      <c r="D4" s="4" t="s">
        <v>1748</v>
      </c>
      <c r="E4" s="4" t="s">
        <v>1348</v>
      </c>
      <c r="F4" s="4" t="s">
        <v>1357</v>
      </c>
      <c r="G4" s="4" t="s">
        <v>1749</v>
      </c>
      <c r="H4" s="4" t="s">
        <v>1750</v>
      </c>
    </row>
    <row r="5" customFormat="false" ht="23.25" hidden="false" customHeight="true" outlineLevel="0" collapsed="false">
      <c r="A5" s="34" t="s">
        <v>1608</v>
      </c>
      <c r="B5" s="36" t="n">
        <v>1</v>
      </c>
      <c r="C5" s="34" t="s">
        <v>1751</v>
      </c>
      <c r="D5" s="34" t="s">
        <v>1752</v>
      </c>
      <c r="E5" s="34" t="s">
        <v>1378</v>
      </c>
      <c r="F5" s="36" t="n">
        <f aca="false">Cronograma!L44</f>
        <v>10160</v>
      </c>
      <c r="G5" s="36" t="n">
        <f aca="false">Cronograma!N44</f>
        <v>8525918727.95925</v>
      </c>
      <c r="H5" s="87" t="n">
        <v>1</v>
      </c>
    </row>
    <row r="6" customFormat="false" ht="15" hidden="false" customHeight="true" outlineLevel="0" collapsed="false">
      <c r="A6" s="12" t="s">
        <v>1609</v>
      </c>
      <c r="B6" s="83" t="n">
        <v>2</v>
      </c>
      <c r="C6" s="12" t="s">
        <v>1753</v>
      </c>
      <c r="D6" s="13" t="s">
        <v>1754</v>
      </c>
      <c r="E6" s="13" t="s">
        <v>1378</v>
      </c>
      <c r="F6" s="83" t="n">
        <f aca="false">Cronograma!L6+Cronograma!L7+Cronograma!L8</f>
        <v>1340</v>
      </c>
      <c r="G6" s="83" t="n">
        <f aca="false">Cronograma!N6+Cronograma!N7+Cronograma!N8</f>
        <v>217682186.234818</v>
      </c>
      <c r="H6" s="113" t="n">
        <f aca="false">G6/$G$5</f>
        <v>0.0255318157703014</v>
      </c>
    </row>
    <row r="7" customFormat="false" ht="15" hidden="false" customHeight="true" outlineLevel="0" collapsed="false">
      <c r="A7" s="7" t="s">
        <v>1376</v>
      </c>
      <c r="B7" s="32" t="n">
        <v>3</v>
      </c>
      <c r="C7" s="7" t="s">
        <v>1755</v>
      </c>
      <c r="D7" s="7" t="s">
        <v>1756</v>
      </c>
      <c r="E7" s="7" t="s">
        <v>1378</v>
      </c>
      <c r="F7" s="33" t="n">
        <f aca="false">Cronograma!L6</f>
        <v>80</v>
      </c>
      <c r="G7" s="33" t="n">
        <f aca="false">Cronograma!N6</f>
        <v>12995951.417004</v>
      </c>
      <c r="H7" s="38" t="n">
        <f aca="false">G7/$G$5</f>
        <v>0.00152428750867471</v>
      </c>
    </row>
    <row r="8" customFormat="false" ht="15" hidden="false" customHeight="true" outlineLevel="0" collapsed="false">
      <c r="A8" s="7" t="s">
        <v>1379</v>
      </c>
      <c r="B8" s="32" t="n">
        <v>3</v>
      </c>
      <c r="C8" s="7" t="s">
        <v>1757</v>
      </c>
      <c r="D8" s="7" t="s">
        <v>1756</v>
      </c>
      <c r="E8" s="7" t="s">
        <v>1378</v>
      </c>
      <c r="F8" s="33" t="n">
        <f aca="false">Cronograma!L7</f>
        <v>160</v>
      </c>
      <c r="G8" s="33" t="n">
        <f aca="false">Cronograma!N7</f>
        <v>25991902.8340081</v>
      </c>
      <c r="H8" s="38" t="n">
        <f aca="false">G8/$G$5</f>
        <v>0.00304857501734942</v>
      </c>
    </row>
    <row r="9" customFormat="false" ht="15" hidden="false" customHeight="true" outlineLevel="0" collapsed="false">
      <c r="A9" s="7" t="s">
        <v>1381</v>
      </c>
      <c r="B9" s="32" t="n">
        <v>3</v>
      </c>
      <c r="C9" s="7" t="s">
        <v>1758</v>
      </c>
      <c r="D9" s="7" t="s">
        <v>1756</v>
      </c>
      <c r="E9" s="7" t="s">
        <v>1378</v>
      </c>
      <c r="F9" s="33" t="n">
        <f aca="false">Cronograma!L8</f>
        <v>1100</v>
      </c>
      <c r="G9" s="33" t="n">
        <f aca="false">Cronograma!N8</f>
        <v>178694331.983806</v>
      </c>
      <c r="H9" s="38" t="n">
        <f aca="false">G9/$G$5</f>
        <v>0.0209589532442773</v>
      </c>
    </row>
    <row r="10" customFormat="false" ht="23.25" hidden="false" customHeight="true" outlineLevel="0" collapsed="false">
      <c r="A10" s="12" t="s">
        <v>1610</v>
      </c>
      <c r="B10" s="83" t="n">
        <v>2</v>
      </c>
      <c r="C10" s="12" t="s">
        <v>1759</v>
      </c>
      <c r="D10" s="13" t="s">
        <v>1760</v>
      </c>
      <c r="E10" s="13" t="s">
        <v>1391</v>
      </c>
      <c r="F10" s="83" t="n">
        <f aca="false">Cronograma!L9+Cronograma!L10+Cronograma!L11+Cronograma!L12</f>
        <v>1140</v>
      </c>
      <c r="G10" s="83" t="n">
        <f aca="false">Cronograma!N9+Cronograma!N10+Cronograma!N11+Cronograma!N12</f>
        <v>185192307.692308</v>
      </c>
      <c r="H10" s="113" t="n">
        <f aca="false">G10/$G$5</f>
        <v>0.0217210969986146</v>
      </c>
    </row>
    <row r="11" customFormat="false" ht="15" hidden="false" customHeight="true" outlineLevel="0" collapsed="false">
      <c r="A11" s="7" t="s">
        <v>1383</v>
      </c>
      <c r="B11" s="32" t="n">
        <v>3</v>
      </c>
      <c r="C11" s="7" t="s">
        <v>1761</v>
      </c>
      <c r="D11" s="7" t="s">
        <v>1756</v>
      </c>
      <c r="E11" s="7" t="s">
        <v>1385</v>
      </c>
      <c r="F11" s="33" t="n">
        <f aca="false">Cronograma!L9</f>
        <v>480</v>
      </c>
      <c r="G11" s="33" t="n">
        <f aca="false">Cronograma!N9</f>
        <v>77975708.5020243</v>
      </c>
      <c r="H11" s="38" t="n">
        <f aca="false">G11/$G$5</f>
        <v>0.00914572505204826</v>
      </c>
    </row>
    <row r="12" customFormat="false" ht="15" hidden="false" customHeight="true" outlineLevel="0" collapsed="false">
      <c r="A12" s="7" t="s">
        <v>1386</v>
      </c>
      <c r="B12" s="32" t="n">
        <v>3</v>
      </c>
      <c r="C12" s="7" t="s">
        <v>1762</v>
      </c>
      <c r="D12" s="7" t="s">
        <v>1756</v>
      </c>
      <c r="E12" s="7" t="s">
        <v>1388</v>
      </c>
      <c r="F12" s="33" t="n">
        <f aca="false">Cronograma!L10</f>
        <v>300</v>
      </c>
      <c r="G12" s="33" t="n">
        <f aca="false">Cronograma!N10</f>
        <v>48734817.8137652</v>
      </c>
      <c r="H12" s="38" t="n">
        <f aca="false">G12/$G$5</f>
        <v>0.00571607815753016</v>
      </c>
    </row>
    <row r="13" customFormat="false" ht="15" hidden="false" customHeight="true" outlineLevel="0" collapsed="false">
      <c r="A13" s="7" t="s">
        <v>1389</v>
      </c>
      <c r="B13" s="32" t="n">
        <v>3</v>
      </c>
      <c r="C13" s="7" t="s">
        <v>1763</v>
      </c>
      <c r="D13" s="7" t="s">
        <v>1756</v>
      </c>
      <c r="E13" s="7" t="s">
        <v>1391</v>
      </c>
      <c r="F13" s="33" t="n">
        <f aca="false">Cronograma!L11</f>
        <v>360</v>
      </c>
      <c r="G13" s="33" t="n">
        <f aca="false">Cronograma!N11</f>
        <v>58481781.3765182</v>
      </c>
      <c r="H13" s="38" t="n">
        <f aca="false">G13/$G$5</f>
        <v>0.00685929378903619</v>
      </c>
    </row>
    <row r="14" customFormat="false" ht="15" hidden="false" customHeight="true" outlineLevel="0" collapsed="false">
      <c r="A14" s="7" t="s">
        <v>1392</v>
      </c>
      <c r="B14" s="32" t="n">
        <v>3</v>
      </c>
      <c r="C14" s="7" t="s">
        <v>1764</v>
      </c>
      <c r="D14" s="7" t="s">
        <v>1765</v>
      </c>
      <c r="E14" s="7" t="s">
        <v>1378</v>
      </c>
      <c r="F14" s="33" t="n">
        <f aca="false">Cronograma!L12</f>
        <v>0</v>
      </c>
      <c r="G14" s="33" t="n">
        <f aca="false">Cronograma!N12</f>
        <v>0</v>
      </c>
      <c r="H14" s="38" t="n">
        <f aca="false">G14/$G$5</f>
        <v>0</v>
      </c>
    </row>
    <row r="15" customFormat="false" ht="23.25" hidden="false" customHeight="true" outlineLevel="0" collapsed="false">
      <c r="A15" s="12" t="s">
        <v>1611</v>
      </c>
      <c r="B15" s="83" t="n">
        <v>2</v>
      </c>
      <c r="C15" s="12" t="s">
        <v>1766</v>
      </c>
      <c r="D15" s="13" t="s">
        <v>1767</v>
      </c>
      <c r="E15" s="13" t="s">
        <v>1397</v>
      </c>
      <c r="F15" s="83" t="n">
        <f aca="false">Cronograma!L13+Cronograma!L14+Cronograma!L15+Cronograma!L16+Cronograma!L17+Cronograma!L18+Cronograma!L19+Cronograma!L20+Cronograma!L21</f>
        <v>3040</v>
      </c>
      <c r="G15" s="83" t="n">
        <f aca="false">Cronograma!N13+Cronograma!N14+Cronograma!N15+Cronograma!N16+Cronograma!N17+Cronograma!N18+Cronograma!N19+Cronograma!N20+Cronograma!N21</f>
        <v>493846153.846154</v>
      </c>
      <c r="H15" s="113" t="n">
        <f aca="false">G15/$G$5</f>
        <v>0.057922925329639</v>
      </c>
    </row>
    <row r="16" customFormat="false" ht="15" hidden="false" customHeight="true" outlineLevel="0" collapsed="false">
      <c r="A16" s="7" t="s">
        <v>1395</v>
      </c>
      <c r="B16" s="32" t="n">
        <v>3</v>
      </c>
      <c r="C16" s="7" t="s">
        <v>1768</v>
      </c>
      <c r="D16" s="7" t="s">
        <v>1756</v>
      </c>
      <c r="E16" s="7" t="s">
        <v>1397</v>
      </c>
      <c r="F16" s="33" t="n">
        <f aca="false">Cronograma!L13</f>
        <v>400</v>
      </c>
      <c r="G16" s="33" t="n">
        <f aca="false">Cronograma!N13</f>
        <v>64979757.0850203</v>
      </c>
      <c r="H16" s="38" t="n">
        <f aca="false">G16/$G$5</f>
        <v>0.00762143754337355</v>
      </c>
    </row>
    <row r="17" customFormat="false" ht="15" hidden="false" customHeight="true" outlineLevel="0" collapsed="false">
      <c r="A17" s="7" t="s">
        <v>1398</v>
      </c>
      <c r="B17" s="32" t="n">
        <v>3</v>
      </c>
      <c r="C17" s="7" t="s">
        <v>1769</v>
      </c>
      <c r="D17" s="7" t="s">
        <v>1756</v>
      </c>
      <c r="E17" s="7" t="s">
        <v>1391</v>
      </c>
      <c r="F17" s="33" t="n">
        <f aca="false">Cronograma!L14</f>
        <v>480</v>
      </c>
      <c r="G17" s="33" t="n">
        <f aca="false">Cronograma!N14</f>
        <v>77975708.5020243</v>
      </c>
      <c r="H17" s="38" t="n">
        <f aca="false">G17/$G$5</f>
        <v>0.00914572505204826</v>
      </c>
    </row>
    <row r="18" customFormat="false" ht="15" hidden="false" customHeight="true" outlineLevel="0" collapsed="false">
      <c r="A18" s="7" t="s">
        <v>1400</v>
      </c>
      <c r="B18" s="32" t="n">
        <v>3</v>
      </c>
      <c r="C18" s="7" t="s">
        <v>1770</v>
      </c>
      <c r="D18" s="7" t="s">
        <v>1756</v>
      </c>
      <c r="E18" s="7" t="s">
        <v>1397</v>
      </c>
      <c r="F18" s="33" t="n">
        <f aca="false">Cronograma!L15</f>
        <v>240</v>
      </c>
      <c r="G18" s="33" t="n">
        <f aca="false">Cronograma!N15</f>
        <v>38987854.2510122</v>
      </c>
      <c r="H18" s="38" t="n">
        <f aca="false">G18/$G$5</f>
        <v>0.00457286252602413</v>
      </c>
    </row>
    <row r="19" customFormat="false" ht="15" hidden="false" customHeight="true" outlineLevel="0" collapsed="false">
      <c r="A19" s="7" t="s">
        <v>1402</v>
      </c>
      <c r="B19" s="32" t="n">
        <v>3</v>
      </c>
      <c r="C19" s="7" t="s">
        <v>1771</v>
      </c>
      <c r="D19" s="7" t="s">
        <v>1756</v>
      </c>
      <c r="E19" s="7" t="s">
        <v>1397</v>
      </c>
      <c r="F19" s="33" t="n">
        <f aca="false">Cronograma!L16</f>
        <v>320</v>
      </c>
      <c r="G19" s="33" t="n">
        <f aca="false">Cronograma!N16</f>
        <v>51983805.6680162</v>
      </c>
      <c r="H19" s="38" t="n">
        <f aca="false">G19/$G$5</f>
        <v>0.00609715003469884</v>
      </c>
    </row>
    <row r="20" customFormat="false" ht="15" hidden="false" customHeight="true" outlineLevel="0" collapsed="false">
      <c r="A20" s="7" t="s">
        <v>1404</v>
      </c>
      <c r="B20" s="32" t="n">
        <v>3</v>
      </c>
      <c r="C20" s="7" t="s">
        <v>1772</v>
      </c>
      <c r="D20" s="7" t="s">
        <v>1756</v>
      </c>
      <c r="E20" s="7" t="s">
        <v>1406</v>
      </c>
      <c r="F20" s="33" t="n">
        <f aca="false">Cronograma!L17</f>
        <v>160</v>
      </c>
      <c r="G20" s="33" t="n">
        <f aca="false">Cronograma!N17</f>
        <v>25991902.8340081</v>
      </c>
      <c r="H20" s="38" t="n">
        <f aca="false">G20/$G$5</f>
        <v>0.00304857501734942</v>
      </c>
    </row>
    <row r="21" customFormat="false" ht="15" hidden="false" customHeight="true" outlineLevel="0" collapsed="false">
      <c r="A21" s="7" t="s">
        <v>1407</v>
      </c>
      <c r="B21" s="32" t="n">
        <v>3</v>
      </c>
      <c r="C21" s="7" t="s">
        <v>1773</v>
      </c>
      <c r="D21" s="7" t="s">
        <v>1756</v>
      </c>
      <c r="E21" s="7" t="s">
        <v>1397</v>
      </c>
      <c r="F21" s="33" t="n">
        <f aca="false">Cronograma!L18</f>
        <v>560</v>
      </c>
      <c r="G21" s="33" t="n">
        <f aca="false">Cronograma!N18</f>
        <v>90971659.9190283</v>
      </c>
      <c r="H21" s="38" t="n">
        <f aca="false">G21/$G$5</f>
        <v>0.010670012560723</v>
      </c>
    </row>
    <row r="22" customFormat="false" ht="15" hidden="false" customHeight="true" outlineLevel="0" collapsed="false">
      <c r="A22" s="7" t="s">
        <v>1409</v>
      </c>
      <c r="B22" s="32" t="n">
        <v>3</v>
      </c>
      <c r="C22" s="7" t="s">
        <v>1774</v>
      </c>
      <c r="D22" s="7" t="s">
        <v>1756</v>
      </c>
      <c r="E22" s="7" t="s">
        <v>1406</v>
      </c>
      <c r="F22" s="33" t="n">
        <f aca="false">Cronograma!L19</f>
        <v>400</v>
      </c>
      <c r="G22" s="33" t="n">
        <f aca="false">Cronograma!N19</f>
        <v>64979757.0850203</v>
      </c>
      <c r="H22" s="38" t="n">
        <f aca="false">G22/$G$5</f>
        <v>0.00762143754337355</v>
      </c>
    </row>
    <row r="23" customFormat="false" ht="15" hidden="false" customHeight="true" outlineLevel="0" collapsed="false">
      <c r="A23" s="7" t="s">
        <v>1411</v>
      </c>
      <c r="B23" s="32" t="n">
        <v>3</v>
      </c>
      <c r="C23" s="7" t="s">
        <v>1775</v>
      </c>
      <c r="D23" s="7" t="s">
        <v>1756</v>
      </c>
      <c r="E23" s="7" t="s">
        <v>1391</v>
      </c>
      <c r="F23" s="33" t="n">
        <f aca="false">Cronograma!L20</f>
        <v>400</v>
      </c>
      <c r="G23" s="33" t="n">
        <f aca="false">Cronograma!N20</f>
        <v>64979757.0850203</v>
      </c>
      <c r="H23" s="38" t="n">
        <f aca="false">G23/$G$5</f>
        <v>0.00762143754337355</v>
      </c>
    </row>
    <row r="24" customFormat="false" ht="15" hidden="false" customHeight="true" outlineLevel="0" collapsed="false">
      <c r="A24" s="7" t="s">
        <v>1413</v>
      </c>
      <c r="B24" s="32" t="n">
        <v>3</v>
      </c>
      <c r="C24" s="7" t="s">
        <v>1776</v>
      </c>
      <c r="D24" s="7" t="s">
        <v>1756</v>
      </c>
      <c r="E24" s="7" t="s">
        <v>1397</v>
      </c>
      <c r="F24" s="33" t="n">
        <f aca="false">Cronograma!L21</f>
        <v>80</v>
      </c>
      <c r="G24" s="33" t="n">
        <f aca="false">Cronograma!N21</f>
        <v>12995951.417004</v>
      </c>
      <c r="H24" s="38" t="n">
        <f aca="false">G24/$G$5</f>
        <v>0.00152428750867471</v>
      </c>
    </row>
    <row r="25" customFormat="false" ht="15" hidden="false" customHeight="true" outlineLevel="0" collapsed="false">
      <c r="A25" s="12" t="s">
        <v>1612</v>
      </c>
      <c r="B25" s="83" t="n">
        <v>2</v>
      </c>
      <c r="C25" s="12" t="s">
        <v>62</v>
      </c>
      <c r="D25" s="13" t="s">
        <v>1777</v>
      </c>
      <c r="E25" s="13" t="s">
        <v>1378</v>
      </c>
      <c r="F25" s="83" t="n">
        <f aca="false">Cronograma!L22+Cronograma!L23+Cronograma!L24+Cronograma!L25+Cronograma!L26+Cronograma!L27</f>
        <v>600</v>
      </c>
      <c r="G25" s="83" t="n">
        <f aca="false">Cronograma!N22+Cronograma!N23+Cronograma!N24+Cronograma!N25+Cronograma!N26+Cronograma!N27</f>
        <v>5733955165.20621</v>
      </c>
      <c r="H25" s="113" t="n">
        <f aca="false">G25/$G$5</f>
        <v>0.67253223355305</v>
      </c>
    </row>
    <row r="26" customFormat="false" ht="15" hidden="false" customHeight="true" outlineLevel="0" collapsed="false">
      <c r="A26" s="7" t="s">
        <v>1415</v>
      </c>
      <c r="B26" s="32" t="n">
        <v>3</v>
      </c>
      <c r="C26" s="7" t="s">
        <v>1778</v>
      </c>
      <c r="D26" s="7" t="s">
        <v>1756</v>
      </c>
      <c r="E26" s="7" t="s">
        <v>1378</v>
      </c>
      <c r="F26" s="33" t="n">
        <f aca="false">Cronograma!L22</f>
        <v>160</v>
      </c>
      <c r="G26" s="33" t="n">
        <f aca="false">Cronograma!N22</f>
        <v>25991902.8340081</v>
      </c>
      <c r="H26" s="38" t="n">
        <f aca="false">G26/$G$5</f>
        <v>0.00304857501734942</v>
      </c>
    </row>
    <row r="27" customFormat="false" ht="15" hidden="false" customHeight="true" outlineLevel="0" collapsed="false">
      <c r="A27" s="7" t="s">
        <v>936</v>
      </c>
      <c r="B27" s="32" t="n">
        <v>3</v>
      </c>
      <c r="C27" s="7" t="s">
        <v>1779</v>
      </c>
      <c r="D27" s="7" t="s">
        <v>1756</v>
      </c>
      <c r="E27" s="7" t="s">
        <v>1378</v>
      </c>
      <c r="F27" s="33" t="n">
        <f aca="false">Cronograma!L23</f>
        <v>80</v>
      </c>
      <c r="G27" s="33" t="n">
        <f aca="false">Cronograma!N23</f>
        <v>2069691846.35361</v>
      </c>
      <c r="H27" s="38" t="n">
        <f aca="false">G27/$G$5</f>
        <v>0.242752941048619</v>
      </c>
    </row>
    <row r="28" customFormat="false" ht="15" hidden="false" customHeight="true" outlineLevel="0" collapsed="false">
      <c r="A28" s="7" t="s">
        <v>1020</v>
      </c>
      <c r="B28" s="32" t="n">
        <v>3</v>
      </c>
      <c r="C28" s="7" t="s">
        <v>1780</v>
      </c>
      <c r="D28" s="7" t="s">
        <v>1756</v>
      </c>
      <c r="E28" s="7" t="s">
        <v>1397</v>
      </c>
      <c r="F28" s="33" t="n">
        <f aca="false">Cronograma!L24</f>
        <v>120</v>
      </c>
      <c r="G28" s="33" t="n">
        <f aca="false">Cronograma!N24</f>
        <v>1766733553.61539</v>
      </c>
      <c r="H28" s="38" t="n">
        <f aca="false">G28/$G$5</f>
        <v>0.207219140832494</v>
      </c>
    </row>
    <row r="29" customFormat="false" ht="15" hidden="false" customHeight="true" outlineLevel="0" collapsed="false">
      <c r="A29" s="7" t="s">
        <v>992</v>
      </c>
      <c r="B29" s="32" t="n">
        <v>3</v>
      </c>
      <c r="C29" s="7" t="s">
        <v>1781</v>
      </c>
      <c r="D29" s="7" t="s">
        <v>1756</v>
      </c>
      <c r="E29" s="7" t="s">
        <v>1406</v>
      </c>
      <c r="F29" s="33" t="n">
        <f aca="false">Cronograma!L25</f>
        <v>80</v>
      </c>
      <c r="G29" s="33" t="n">
        <f aca="false">Cronograma!N25</f>
        <v>922950563.075101</v>
      </c>
      <c r="H29" s="38" t="n">
        <f aca="false">G29/$G$5</f>
        <v>0.10825232945846</v>
      </c>
    </row>
    <row r="30" customFormat="false" ht="15" hidden="false" customHeight="true" outlineLevel="0" collapsed="false">
      <c r="A30" s="7" t="s">
        <v>1077</v>
      </c>
      <c r="B30" s="32" t="n">
        <v>3</v>
      </c>
      <c r="C30" s="7" t="s">
        <v>1782</v>
      </c>
      <c r="D30" s="7" t="s">
        <v>1756</v>
      </c>
      <c r="E30" s="7" t="s">
        <v>1397</v>
      </c>
      <c r="F30" s="33" t="n">
        <f aca="false">Cronograma!L26</f>
        <v>120</v>
      </c>
      <c r="G30" s="33" t="n">
        <f aca="false">Cronograma!N26</f>
        <v>287535425.101215</v>
      </c>
      <c r="H30" s="38" t="n">
        <f aca="false">G30/$G$5</f>
        <v>0.033724861129428</v>
      </c>
    </row>
    <row r="31" customFormat="false" ht="15" hidden="false" customHeight="true" outlineLevel="0" collapsed="false">
      <c r="A31" s="7" t="s">
        <v>1038</v>
      </c>
      <c r="B31" s="32" t="n">
        <v>3</v>
      </c>
      <c r="C31" s="7" t="s">
        <v>1783</v>
      </c>
      <c r="D31" s="7" t="s">
        <v>1756</v>
      </c>
      <c r="E31" s="7" t="s">
        <v>1406</v>
      </c>
      <c r="F31" s="33" t="n">
        <f aca="false">Cronograma!L27</f>
        <v>40</v>
      </c>
      <c r="G31" s="33" t="n">
        <f aca="false">Cronograma!N27</f>
        <v>661051874.226898</v>
      </c>
      <c r="H31" s="38" t="n">
        <f aca="false">G31/$G$5</f>
        <v>0.0775343860666997</v>
      </c>
    </row>
    <row r="32" customFormat="false" ht="23.25" hidden="false" customHeight="true" outlineLevel="0" collapsed="false">
      <c r="A32" s="12" t="s">
        <v>1613</v>
      </c>
      <c r="B32" s="83" t="n">
        <v>2</v>
      </c>
      <c r="C32" s="12" t="s">
        <v>1784</v>
      </c>
      <c r="D32" s="13" t="s">
        <v>1785</v>
      </c>
      <c r="E32" s="13" t="s">
        <v>1406</v>
      </c>
      <c r="F32" s="83" t="n">
        <f aca="false">Cronograma!L28+Cronograma!L29+Cronograma!L30+Cronograma!L31</f>
        <v>1600</v>
      </c>
      <c r="G32" s="83" t="n">
        <f aca="false">Cronograma!N28+Cronograma!N29+Cronograma!N30+Cronograma!N31</f>
        <v>259919028.340081</v>
      </c>
      <c r="H32" s="113" t="n">
        <f aca="false">G32/$G$5</f>
        <v>0.0304857501734942</v>
      </c>
    </row>
    <row r="33" customFormat="false" ht="15" hidden="false" customHeight="true" outlineLevel="0" collapsed="false">
      <c r="A33" s="7" t="s">
        <v>1423</v>
      </c>
      <c r="B33" s="32" t="n">
        <v>3</v>
      </c>
      <c r="C33" s="7" t="s">
        <v>1786</v>
      </c>
      <c r="D33" s="7" t="s">
        <v>1756</v>
      </c>
      <c r="E33" s="7" t="s">
        <v>1406</v>
      </c>
      <c r="F33" s="33" t="n">
        <f aca="false">Cronograma!L28</f>
        <v>800</v>
      </c>
      <c r="G33" s="33" t="n">
        <f aca="false">Cronograma!N28</f>
        <v>129959514.170041</v>
      </c>
      <c r="H33" s="38" t="n">
        <f aca="false">G33/$G$5</f>
        <v>0.0152428750867471</v>
      </c>
    </row>
    <row r="34" customFormat="false" ht="15" hidden="false" customHeight="true" outlineLevel="0" collapsed="false">
      <c r="A34" s="7" t="s">
        <v>1425</v>
      </c>
      <c r="B34" s="32" t="n">
        <v>3</v>
      </c>
      <c r="C34" s="7" t="s">
        <v>1787</v>
      </c>
      <c r="D34" s="7" t="s">
        <v>1756</v>
      </c>
      <c r="E34" s="7" t="s">
        <v>1388</v>
      </c>
      <c r="F34" s="33" t="n">
        <f aca="false">Cronograma!L29</f>
        <v>640</v>
      </c>
      <c r="G34" s="33" t="n">
        <f aca="false">Cronograma!N29</f>
        <v>103967611.336032</v>
      </c>
      <c r="H34" s="38" t="n">
        <f aca="false">G34/$G$5</f>
        <v>0.0121943000693977</v>
      </c>
    </row>
    <row r="35" customFormat="false" ht="15" hidden="false" customHeight="true" outlineLevel="0" collapsed="false">
      <c r="A35" s="7" t="s">
        <v>1428</v>
      </c>
      <c r="B35" s="32" t="n">
        <v>3</v>
      </c>
      <c r="C35" s="7" t="s">
        <v>1788</v>
      </c>
      <c r="D35" s="7" t="s">
        <v>1756</v>
      </c>
      <c r="E35" s="7" t="s">
        <v>1397</v>
      </c>
      <c r="F35" s="33" t="n">
        <f aca="false">Cronograma!L30</f>
        <v>160</v>
      </c>
      <c r="G35" s="33" t="n">
        <f aca="false">Cronograma!N30</f>
        <v>25991902.8340081</v>
      </c>
      <c r="H35" s="38" t="n">
        <f aca="false">G35/$G$5</f>
        <v>0.00304857501734942</v>
      </c>
    </row>
    <row r="36" customFormat="false" ht="15" hidden="false" customHeight="true" outlineLevel="0" collapsed="false">
      <c r="A36" s="7" t="s">
        <v>1431</v>
      </c>
      <c r="B36" s="32" t="n">
        <v>3</v>
      </c>
      <c r="C36" s="7" t="s">
        <v>1789</v>
      </c>
      <c r="D36" s="7" t="s">
        <v>1765</v>
      </c>
      <c r="E36" s="7" t="s">
        <v>1378</v>
      </c>
      <c r="F36" s="33" t="n">
        <f aca="false">Cronograma!L31</f>
        <v>0</v>
      </c>
      <c r="G36" s="33" t="n">
        <f aca="false">Cronograma!N31</f>
        <v>0</v>
      </c>
      <c r="H36" s="38" t="n">
        <f aca="false">G36/$G$5</f>
        <v>0</v>
      </c>
    </row>
    <row r="37" customFormat="false" ht="23.25" hidden="false" customHeight="true" outlineLevel="0" collapsed="false">
      <c r="A37" s="12" t="s">
        <v>1614</v>
      </c>
      <c r="B37" s="83" t="n">
        <v>2</v>
      </c>
      <c r="C37" s="12" t="s">
        <v>1790</v>
      </c>
      <c r="D37" s="13" t="s">
        <v>1791</v>
      </c>
      <c r="E37" s="13" t="s">
        <v>1385</v>
      </c>
      <c r="F37" s="83" t="n">
        <f aca="false">Cronograma!L32+Cronograma!L33+Cronograma!L34+Cronograma!L35+Cronograma!L36</f>
        <v>760</v>
      </c>
      <c r="G37" s="83" t="n">
        <f aca="false">Cronograma!N32+Cronograma!N33+Cronograma!N34+Cronograma!N35+Cronograma!N36</f>
        <v>1362408906.88259</v>
      </c>
      <c r="H37" s="113" t="n">
        <f aca="false">G37/$G$5</f>
        <v>0.159796140492732</v>
      </c>
    </row>
    <row r="38" customFormat="false" ht="15" hidden="false" customHeight="true" outlineLevel="0" collapsed="false">
      <c r="A38" s="7" t="s">
        <v>1082</v>
      </c>
      <c r="B38" s="32" t="n">
        <v>3</v>
      </c>
      <c r="C38" s="7" t="s">
        <v>1792</v>
      </c>
      <c r="D38" s="7" t="s">
        <v>1756</v>
      </c>
      <c r="E38" s="7" t="s">
        <v>1385</v>
      </c>
      <c r="F38" s="33" t="n">
        <f aca="false">Cronograma!L32</f>
        <v>160</v>
      </c>
      <c r="G38" s="33" t="n">
        <f aca="false">Cronograma!N32</f>
        <v>168947368.421053</v>
      </c>
      <c r="H38" s="38" t="n">
        <f aca="false">G38/$G$5</f>
        <v>0.0198157376127712</v>
      </c>
    </row>
    <row r="39" customFormat="false" ht="15" hidden="false" customHeight="true" outlineLevel="0" collapsed="false">
      <c r="A39" s="7" t="s">
        <v>1086</v>
      </c>
      <c r="B39" s="32" t="n">
        <v>3</v>
      </c>
      <c r="C39" s="7" t="s">
        <v>1793</v>
      </c>
      <c r="D39" s="7" t="s">
        <v>1756</v>
      </c>
      <c r="E39" s="7" t="s">
        <v>1385</v>
      </c>
      <c r="F39" s="33" t="n">
        <f aca="false">Cronograma!L33</f>
        <v>180</v>
      </c>
      <c r="G39" s="33" t="n">
        <f aca="false">Cronograma!N33</f>
        <v>496228744.939271</v>
      </c>
      <c r="H39" s="38" t="n">
        <f aca="false">G39/$G$5</f>
        <v>0.0582023780395627</v>
      </c>
    </row>
    <row r="40" customFormat="false" ht="15" hidden="false" customHeight="true" outlineLevel="0" collapsed="false">
      <c r="A40" s="7" t="s">
        <v>1090</v>
      </c>
      <c r="B40" s="32" t="n">
        <v>3</v>
      </c>
      <c r="C40" s="7" t="s">
        <v>1794</v>
      </c>
      <c r="D40" s="7" t="s">
        <v>1756</v>
      </c>
      <c r="E40" s="7" t="s">
        <v>1397</v>
      </c>
      <c r="F40" s="33" t="n">
        <f aca="false">Cronograma!L34</f>
        <v>180</v>
      </c>
      <c r="G40" s="33" t="n">
        <f aca="false">Cronograma!N34</f>
        <v>565323886.639676</v>
      </c>
      <c r="H40" s="38" t="n">
        <f aca="false">G40/$G$5</f>
        <v>0.0663065066273499</v>
      </c>
    </row>
    <row r="41" customFormat="false" ht="15" hidden="false" customHeight="true" outlineLevel="0" collapsed="false">
      <c r="A41" s="7" t="s">
        <v>1095</v>
      </c>
      <c r="B41" s="32" t="n">
        <v>3</v>
      </c>
      <c r="C41" s="7" t="s">
        <v>1795</v>
      </c>
      <c r="D41" s="7" t="s">
        <v>1756</v>
      </c>
      <c r="E41" s="7" t="s">
        <v>1397</v>
      </c>
      <c r="F41" s="33" t="n">
        <f aca="false">Cronograma!L35</f>
        <v>80</v>
      </c>
      <c r="G41" s="33" t="n">
        <f aca="false">Cronograma!N35</f>
        <v>34439271.2550607</v>
      </c>
      <c r="H41" s="38" t="n">
        <f aca="false">G41/$G$5</f>
        <v>0.00403936189798798</v>
      </c>
    </row>
    <row r="42" customFormat="false" ht="15" hidden="false" customHeight="true" outlineLevel="0" collapsed="false">
      <c r="A42" s="7" t="s">
        <v>1093</v>
      </c>
      <c r="B42" s="32" t="n">
        <v>3</v>
      </c>
      <c r="C42" s="7" t="s">
        <v>1796</v>
      </c>
      <c r="D42" s="7" t="s">
        <v>1756</v>
      </c>
      <c r="E42" s="7" t="s">
        <v>1406</v>
      </c>
      <c r="F42" s="33" t="n">
        <f aca="false">Cronograma!L36</f>
        <v>160</v>
      </c>
      <c r="G42" s="33" t="n">
        <f aca="false">Cronograma!N36</f>
        <v>97469635.6275304</v>
      </c>
      <c r="H42" s="38" t="n">
        <f aca="false">G42/$G$5</f>
        <v>0.0114321563150603</v>
      </c>
    </row>
    <row r="43" customFormat="false" ht="23.25" hidden="false" customHeight="true" outlineLevel="0" collapsed="false">
      <c r="A43" s="12" t="s">
        <v>1615</v>
      </c>
      <c r="B43" s="83" t="n">
        <v>2</v>
      </c>
      <c r="C43" s="12" t="s">
        <v>1797</v>
      </c>
      <c r="D43" s="13" t="s">
        <v>1798</v>
      </c>
      <c r="E43" s="13" t="s">
        <v>1388</v>
      </c>
      <c r="F43" s="83" t="n">
        <f aca="false">Cronograma!L37+Cronograma!L38+Cronograma!L39+Cronograma!L40</f>
        <v>1200</v>
      </c>
      <c r="G43" s="83" t="n">
        <f aca="false">Cronograma!N37+Cronograma!N38+Cronograma!N39+Cronograma!N40</f>
        <v>194939271.255061</v>
      </c>
      <c r="H43" s="113" t="n">
        <f aca="false">G43/$G$5</f>
        <v>0.0228643126301206</v>
      </c>
    </row>
    <row r="44" customFormat="false" ht="15" hidden="false" customHeight="true" outlineLevel="0" collapsed="false">
      <c r="A44" s="7" t="s">
        <v>1442</v>
      </c>
      <c r="B44" s="32" t="n">
        <v>3</v>
      </c>
      <c r="C44" s="7" t="s">
        <v>1799</v>
      </c>
      <c r="D44" s="7" t="s">
        <v>1756</v>
      </c>
      <c r="E44" s="7" t="s">
        <v>1388</v>
      </c>
      <c r="F44" s="33" t="n">
        <f aca="false">Cronograma!L37</f>
        <v>440</v>
      </c>
      <c r="G44" s="33" t="n">
        <f aca="false">Cronograma!N37</f>
        <v>71477732.7935223</v>
      </c>
      <c r="H44" s="38" t="n">
        <f aca="false">G44/$G$5</f>
        <v>0.0083835812977109</v>
      </c>
    </row>
    <row r="45" customFormat="false" ht="15" hidden="false" customHeight="true" outlineLevel="0" collapsed="false">
      <c r="A45" s="7" t="s">
        <v>1445</v>
      </c>
      <c r="B45" s="32" t="n">
        <v>3</v>
      </c>
      <c r="C45" s="7" t="s">
        <v>1800</v>
      </c>
      <c r="D45" s="7" t="s">
        <v>1756</v>
      </c>
      <c r="E45" s="7" t="s">
        <v>1385</v>
      </c>
      <c r="F45" s="33" t="n">
        <f aca="false">Cronograma!L38</f>
        <v>280</v>
      </c>
      <c r="G45" s="33" t="n">
        <f aca="false">Cronograma!N38</f>
        <v>45485829.9595142</v>
      </c>
      <c r="H45" s="38" t="n">
        <f aca="false">G45/$G$5</f>
        <v>0.00533500628036148</v>
      </c>
    </row>
    <row r="46" customFormat="false" ht="15" hidden="false" customHeight="true" outlineLevel="0" collapsed="false">
      <c r="A46" s="7" t="s">
        <v>1447</v>
      </c>
      <c r="B46" s="32" t="n">
        <v>3</v>
      </c>
      <c r="C46" s="7" t="s">
        <v>1801</v>
      </c>
      <c r="D46" s="7" t="s">
        <v>1756</v>
      </c>
      <c r="E46" s="7" t="s">
        <v>1391</v>
      </c>
      <c r="F46" s="33" t="n">
        <f aca="false">Cronograma!L39</f>
        <v>160</v>
      </c>
      <c r="G46" s="33" t="n">
        <f aca="false">Cronograma!N39</f>
        <v>25991902.8340081</v>
      </c>
      <c r="H46" s="38" t="n">
        <f aca="false">G46/$G$5</f>
        <v>0.00304857501734942</v>
      </c>
    </row>
    <row r="47" customFormat="false" ht="15" hidden="false" customHeight="true" outlineLevel="0" collapsed="false">
      <c r="A47" s="7" t="s">
        <v>1450</v>
      </c>
      <c r="B47" s="32" t="n">
        <v>3</v>
      </c>
      <c r="C47" s="7" t="s">
        <v>1802</v>
      </c>
      <c r="D47" s="7" t="s">
        <v>1756</v>
      </c>
      <c r="E47" s="7" t="s">
        <v>1388</v>
      </c>
      <c r="F47" s="33" t="n">
        <f aca="false">Cronograma!L40</f>
        <v>320</v>
      </c>
      <c r="G47" s="33" t="n">
        <f aca="false">Cronograma!N40</f>
        <v>51983805.6680162</v>
      </c>
      <c r="H47" s="38" t="n">
        <f aca="false">G47/$G$5</f>
        <v>0.00609715003469884</v>
      </c>
    </row>
    <row r="48" customFormat="false" ht="15" hidden="false" customHeight="true" outlineLevel="0" collapsed="false">
      <c r="A48" s="12" t="s">
        <v>1803</v>
      </c>
      <c r="B48" s="83" t="n">
        <v>2</v>
      </c>
      <c r="C48" s="12" t="s">
        <v>1804</v>
      </c>
      <c r="D48" s="13" t="s">
        <v>1805</v>
      </c>
      <c r="E48" s="13" t="s">
        <v>1385</v>
      </c>
      <c r="F48" s="83" t="n">
        <f aca="false">Cronograma!L41+Cronograma!L42+Cronograma!L43</f>
        <v>480</v>
      </c>
      <c r="G48" s="83" t="n">
        <f aca="false">Cronograma!N41+Cronograma!N42+Cronograma!N43</f>
        <v>77975708.5020243</v>
      </c>
      <c r="H48" s="113" t="n">
        <f aca="false">G48/$G$5</f>
        <v>0.00914572505204826</v>
      </c>
    </row>
    <row r="49" customFormat="false" ht="15" hidden="false" customHeight="true" outlineLevel="0" collapsed="false">
      <c r="A49" s="7" t="s">
        <v>1453</v>
      </c>
      <c r="B49" s="32" t="n">
        <v>3</v>
      </c>
      <c r="C49" s="7" t="s">
        <v>1806</v>
      </c>
      <c r="D49" s="7" t="s">
        <v>1756</v>
      </c>
      <c r="E49" s="7" t="s">
        <v>1385</v>
      </c>
      <c r="F49" s="33" t="n">
        <f aca="false">Cronograma!L41</f>
        <v>240</v>
      </c>
      <c r="G49" s="33" t="n">
        <f aca="false">Cronograma!N41</f>
        <v>38987854.2510122</v>
      </c>
      <c r="H49" s="38" t="n">
        <f aca="false">G49/$G$5</f>
        <v>0.00457286252602413</v>
      </c>
    </row>
    <row r="50" customFormat="false" ht="15" hidden="false" customHeight="true" outlineLevel="0" collapsed="false">
      <c r="A50" s="7" t="s">
        <v>1455</v>
      </c>
      <c r="B50" s="32" t="n">
        <v>3</v>
      </c>
      <c r="C50" s="7" t="s">
        <v>1807</v>
      </c>
      <c r="D50" s="7" t="s">
        <v>1756</v>
      </c>
      <c r="E50" s="7" t="s">
        <v>1406</v>
      </c>
      <c r="F50" s="33" t="n">
        <f aca="false">Cronograma!L42</f>
        <v>160</v>
      </c>
      <c r="G50" s="33" t="n">
        <f aca="false">Cronograma!N42</f>
        <v>25991902.8340081</v>
      </c>
      <c r="H50" s="38" t="n">
        <f aca="false">G50/$G$5</f>
        <v>0.00304857501734942</v>
      </c>
    </row>
    <row r="51" customFormat="false" ht="15" hidden="false" customHeight="true" outlineLevel="0" collapsed="false">
      <c r="A51" s="7" t="s">
        <v>1457</v>
      </c>
      <c r="B51" s="32" t="n">
        <v>3</v>
      </c>
      <c r="C51" s="7" t="s">
        <v>1808</v>
      </c>
      <c r="D51" s="7" t="s">
        <v>1756</v>
      </c>
      <c r="E51" s="7" t="s">
        <v>1378</v>
      </c>
      <c r="F51" s="33" t="n">
        <f aca="false">Cronograma!L43</f>
        <v>80</v>
      </c>
      <c r="G51" s="33" t="n">
        <f aca="false">Cronograma!N43</f>
        <v>12995951.417004</v>
      </c>
      <c r="H51" s="38" t="n">
        <f aca="false">G51/$G$5</f>
        <v>0.00152428750867471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32"/>
    <col collapsed="false" customWidth="true" hidden="false" outlineLevel="0" max="4" min="4" style="1" width="30"/>
    <col collapsed="false" customWidth="true" hidden="false" outlineLevel="0" max="5" min="5" style="1" width="9"/>
    <col collapsed="false" customWidth="true" hidden="false" outlineLevel="0" max="6" min="6" style="1" width="8"/>
    <col collapsed="false" customWidth="true" hidden="false" outlineLevel="0" max="7" min="7" style="1" width="9"/>
    <col collapsed="false" customWidth="true" hidden="false" outlineLevel="0" max="8" min="8" style="1" width="7"/>
    <col collapsed="false" customWidth="true" hidden="false" outlineLevel="0" max="10" min="9" style="1" width="8"/>
    <col collapsed="false" customWidth="true" hidden="false" outlineLevel="0" max="12" min="11" style="1" width="15"/>
    <col collapsed="false" customWidth="true" hidden="false" outlineLevel="0" max="13" min="13" style="1" width="11"/>
    <col collapsed="false" customWidth="true" hidden="false" outlineLevel="0" max="14" min="14" style="1" width="55"/>
    <col collapsed="false" customWidth="true" hidden="false" outlineLevel="0" max="15" min="15" style="1" width="16"/>
    <col collapsed="false" customWidth="true" hidden="false" outlineLevel="0" max="16" min="16" style="1" width="28"/>
  </cols>
  <sheetData>
    <row r="1" customFormat="false" ht="17.25" hidden="false" customHeight="true" outlineLevel="0" collapsed="false">
      <c r="A1" s="2" t="s">
        <v>1809</v>
      </c>
    </row>
    <row r="2" customFormat="false" ht="15" hidden="false" customHeight="true" outlineLevel="0" collapsed="false">
      <c r="A2" s="3" t="s">
        <v>1810</v>
      </c>
    </row>
    <row r="4" customFormat="false" ht="23.25" hidden="false" customHeight="true" outlineLevel="0" collapsed="false">
      <c r="A4" s="4" t="s">
        <v>1811</v>
      </c>
      <c r="B4" s="4" t="s">
        <v>1812</v>
      </c>
      <c r="C4" s="4" t="s">
        <v>1813</v>
      </c>
      <c r="D4" s="4" t="s">
        <v>1814</v>
      </c>
      <c r="E4" s="4" t="s">
        <v>1815</v>
      </c>
      <c r="F4" s="4" t="s">
        <v>1816</v>
      </c>
      <c r="G4" s="4" t="s">
        <v>1817</v>
      </c>
      <c r="H4" s="4" t="s">
        <v>1746</v>
      </c>
      <c r="I4" s="4" t="s">
        <v>1818</v>
      </c>
      <c r="J4" s="4" t="s">
        <v>1819</v>
      </c>
      <c r="K4" s="4" t="s">
        <v>1820</v>
      </c>
      <c r="L4" s="4" t="s">
        <v>1821</v>
      </c>
      <c r="M4" s="4" t="s">
        <v>1822</v>
      </c>
      <c r="N4" s="4" t="s">
        <v>1823</v>
      </c>
      <c r="O4" s="4" t="s">
        <v>1348</v>
      </c>
      <c r="P4" s="4" t="s">
        <v>1824</v>
      </c>
    </row>
    <row r="5" customFormat="false" ht="23.25" hidden="false" customHeight="true" outlineLevel="0" collapsed="false">
      <c r="A5" s="7" t="s">
        <v>1825</v>
      </c>
      <c r="B5" s="7" t="s">
        <v>1826</v>
      </c>
      <c r="C5" s="7" t="s">
        <v>1827</v>
      </c>
      <c r="D5" s="7" t="s">
        <v>1828</v>
      </c>
      <c r="E5" s="7" t="s">
        <v>1829</v>
      </c>
      <c r="F5" s="30" t="n">
        <v>3</v>
      </c>
      <c r="G5" s="30" t="n">
        <v>4</v>
      </c>
      <c r="H5" s="86" t="n">
        <f aca="false">F5*G5</f>
        <v>12</v>
      </c>
      <c r="I5" s="5" t="str">
        <f aca="false">IF(H5&gt;=15,"Alto",IF(H5&gt;=8,"Medio","Bajo"))</f>
        <v>Medio</v>
      </c>
      <c r="J5" s="38" t="n">
        <f aca="false">CHOOSE(F5,0.1,0.25,0.4,0.6,0.8)</f>
        <v>0.4</v>
      </c>
      <c r="K5" s="30" t="n">
        <v>190000000</v>
      </c>
      <c r="L5" s="32" t="n">
        <f aca="false">J5*K5</f>
        <v>76000000</v>
      </c>
      <c r="M5" s="7" t="s">
        <v>1830</v>
      </c>
      <c r="N5" s="7" t="s">
        <v>1831</v>
      </c>
      <c r="O5" s="7" t="s">
        <v>1397</v>
      </c>
      <c r="P5" s="7" t="s">
        <v>1832</v>
      </c>
    </row>
    <row r="6" customFormat="false" ht="34.5" hidden="false" customHeight="true" outlineLevel="0" collapsed="false">
      <c r="A6" s="7" t="s">
        <v>1833</v>
      </c>
      <c r="B6" s="7" t="s">
        <v>1834</v>
      </c>
      <c r="C6" s="7" t="s">
        <v>1835</v>
      </c>
      <c r="D6" s="7" t="s">
        <v>1836</v>
      </c>
      <c r="E6" s="7" t="s">
        <v>1829</v>
      </c>
      <c r="F6" s="30" t="n">
        <v>3</v>
      </c>
      <c r="G6" s="30" t="n">
        <v>4</v>
      </c>
      <c r="H6" s="86" t="n">
        <f aca="false">F6*G6</f>
        <v>12</v>
      </c>
      <c r="I6" s="5" t="str">
        <f aca="false">IF(H6&gt;=15,"Alto",IF(H6&gt;=8,"Medio","Bajo"))</f>
        <v>Medio</v>
      </c>
      <c r="J6" s="38" t="n">
        <f aca="false">CHOOSE(F6,0.1,0.25,0.4,0.6,0.8)</f>
        <v>0.4</v>
      </c>
      <c r="K6" s="30" t="n">
        <v>340000000</v>
      </c>
      <c r="L6" s="32" t="n">
        <f aca="false">J6*K6</f>
        <v>136000000</v>
      </c>
      <c r="M6" s="7" t="s">
        <v>1837</v>
      </c>
      <c r="N6" s="7" t="s">
        <v>1838</v>
      </c>
      <c r="O6" s="7" t="s">
        <v>1378</v>
      </c>
      <c r="P6" s="7" t="s">
        <v>1839</v>
      </c>
    </row>
    <row r="7" customFormat="false" ht="23.25" hidden="false" customHeight="true" outlineLevel="0" collapsed="false">
      <c r="A7" s="7" t="s">
        <v>1840</v>
      </c>
      <c r="B7" s="7" t="s">
        <v>1841</v>
      </c>
      <c r="C7" s="7" t="s">
        <v>1842</v>
      </c>
      <c r="D7" s="7" t="s">
        <v>1843</v>
      </c>
      <c r="E7" s="7" t="s">
        <v>1844</v>
      </c>
      <c r="F7" s="30" t="n">
        <v>2</v>
      </c>
      <c r="G7" s="30" t="n">
        <v>5</v>
      </c>
      <c r="H7" s="86" t="n">
        <f aca="false">F7*G7</f>
        <v>10</v>
      </c>
      <c r="I7" s="5" t="str">
        <f aca="false">IF(H7&gt;=15,"Alto",IF(H7&gt;=8,"Medio","Bajo"))</f>
        <v>Medio</v>
      </c>
      <c r="J7" s="38" t="n">
        <f aca="false">CHOOSE(F7,0.1,0.25,0.4,0.6,0.8)</f>
        <v>0.25</v>
      </c>
      <c r="K7" s="30" t="n">
        <v>300000000</v>
      </c>
      <c r="L7" s="32" t="n">
        <f aca="false">J7*K7</f>
        <v>75000000</v>
      </c>
      <c r="M7" s="7" t="s">
        <v>1830</v>
      </c>
      <c r="N7" s="7" t="s">
        <v>1845</v>
      </c>
      <c r="O7" s="7" t="s">
        <v>1385</v>
      </c>
      <c r="P7" s="7" t="s">
        <v>1846</v>
      </c>
    </row>
    <row r="8" customFormat="false" ht="23.25" hidden="false" customHeight="true" outlineLevel="0" collapsed="false">
      <c r="A8" s="7" t="s">
        <v>1847</v>
      </c>
      <c r="B8" s="7" t="s">
        <v>1848</v>
      </c>
      <c r="C8" s="7" t="s">
        <v>1849</v>
      </c>
      <c r="D8" s="7" t="s">
        <v>1850</v>
      </c>
      <c r="E8" s="7" t="s">
        <v>1829</v>
      </c>
      <c r="F8" s="30" t="n">
        <v>3</v>
      </c>
      <c r="G8" s="30" t="n">
        <v>3</v>
      </c>
      <c r="H8" s="86" t="n">
        <f aca="false">F8*G8</f>
        <v>9</v>
      </c>
      <c r="I8" s="5" t="str">
        <f aca="false">IF(H8&gt;=15,"Alto",IF(H8&gt;=8,"Medio","Bajo"))</f>
        <v>Medio</v>
      </c>
      <c r="J8" s="38" t="n">
        <f aca="false">CHOOSE(F8,0.1,0.25,0.4,0.6,0.8)</f>
        <v>0.4</v>
      </c>
      <c r="K8" s="30" t="n">
        <v>120000000</v>
      </c>
      <c r="L8" s="32" t="n">
        <f aca="false">J8*K8</f>
        <v>48000000</v>
      </c>
      <c r="M8" s="7" t="s">
        <v>1830</v>
      </c>
      <c r="N8" s="7" t="s">
        <v>1851</v>
      </c>
      <c r="O8" s="7" t="s">
        <v>1391</v>
      </c>
      <c r="P8" s="7" t="s">
        <v>1852</v>
      </c>
    </row>
    <row r="9" customFormat="false" ht="23.25" hidden="false" customHeight="true" outlineLevel="0" collapsed="false">
      <c r="A9" s="7" t="s">
        <v>1853</v>
      </c>
      <c r="B9" s="7" t="s">
        <v>1854</v>
      </c>
      <c r="C9" s="7" t="s">
        <v>1855</v>
      </c>
      <c r="D9" s="7" t="s">
        <v>1856</v>
      </c>
      <c r="E9" s="7" t="s">
        <v>1857</v>
      </c>
      <c r="F9" s="30" t="n">
        <v>3</v>
      </c>
      <c r="G9" s="30" t="n">
        <v>3</v>
      </c>
      <c r="H9" s="86" t="n">
        <f aca="false">F9*G9</f>
        <v>9</v>
      </c>
      <c r="I9" s="5" t="str">
        <f aca="false">IF(H9&gt;=15,"Alto",IF(H9&gt;=8,"Medio","Bajo"))</f>
        <v>Medio</v>
      </c>
      <c r="J9" s="38" t="n">
        <f aca="false">CHOOSE(F9,0.1,0.25,0.4,0.6,0.8)</f>
        <v>0.4</v>
      </c>
      <c r="K9" s="30" t="n">
        <v>80000000</v>
      </c>
      <c r="L9" s="32" t="n">
        <f aca="false">J9*K9</f>
        <v>32000000</v>
      </c>
      <c r="M9" s="7" t="s">
        <v>1830</v>
      </c>
      <c r="N9" s="7" t="s">
        <v>1858</v>
      </c>
      <c r="O9" s="7" t="s">
        <v>1385</v>
      </c>
      <c r="P9" s="7" t="s">
        <v>1859</v>
      </c>
    </row>
    <row r="10" customFormat="false" ht="23.25" hidden="false" customHeight="true" outlineLevel="0" collapsed="false">
      <c r="A10" s="7" t="s">
        <v>1860</v>
      </c>
      <c r="B10" s="7" t="s">
        <v>1861</v>
      </c>
      <c r="C10" s="7" t="s">
        <v>1862</v>
      </c>
      <c r="D10" s="7" t="s">
        <v>1863</v>
      </c>
      <c r="E10" s="7" t="s">
        <v>1829</v>
      </c>
      <c r="F10" s="30" t="n">
        <v>2</v>
      </c>
      <c r="G10" s="30" t="n">
        <v>4</v>
      </c>
      <c r="H10" s="86" t="n">
        <f aca="false">F10*G10</f>
        <v>8</v>
      </c>
      <c r="I10" s="5" t="str">
        <f aca="false">IF(H10&gt;=15,"Alto",IF(H10&gt;=8,"Medio","Bajo"))</f>
        <v>Medio</v>
      </c>
      <c r="J10" s="38" t="n">
        <f aca="false">CHOOSE(F10,0.1,0.25,0.4,0.6,0.8)</f>
        <v>0.25</v>
      </c>
      <c r="K10" s="30" t="n">
        <v>150000000</v>
      </c>
      <c r="L10" s="32" t="n">
        <f aca="false">J10*K10</f>
        <v>37500000</v>
      </c>
      <c r="M10" s="7" t="s">
        <v>1830</v>
      </c>
      <c r="N10" s="7" t="s">
        <v>1864</v>
      </c>
      <c r="O10" s="7" t="s">
        <v>1388</v>
      </c>
      <c r="P10" s="7" t="s">
        <v>1865</v>
      </c>
    </row>
    <row r="11" customFormat="false" ht="23.25" hidden="false" customHeight="true" outlineLevel="0" collapsed="false">
      <c r="A11" s="7" t="s">
        <v>1866</v>
      </c>
      <c r="B11" s="7" t="s">
        <v>1867</v>
      </c>
      <c r="C11" s="7" t="s">
        <v>1868</v>
      </c>
      <c r="D11" s="7" t="s">
        <v>1869</v>
      </c>
      <c r="E11" s="7" t="s">
        <v>1844</v>
      </c>
      <c r="F11" s="30" t="n">
        <v>2</v>
      </c>
      <c r="G11" s="30" t="n">
        <v>4</v>
      </c>
      <c r="H11" s="86" t="n">
        <f aca="false">F11*G11</f>
        <v>8</v>
      </c>
      <c r="I11" s="5" t="str">
        <f aca="false">IF(H11&gt;=15,"Alto",IF(H11&gt;=8,"Medio","Bajo"))</f>
        <v>Medio</v>
      </c>
      <c r="J11" s="38" t="n">
        <f aca="false">CHOOSE(F11,0.1,0.25,0.4,0.6,0.8)</f>
        <v>0.25</v>
      </c>
      <c r="K11" s="30" t="n">
        <v>100000000</v>
      </c>
      <c r="L11" s="32" t="n">
        <f aca="false">J11*K11</f>
        <v>25000000</v>
      </c>
      <c r="M11" s="7" t="s">
        <v>1870</v>
      </c>
      <c r="N11" s="7" t="s">
        <v>1871</v>
      </c>
      <c r="O11" s="7" t="s">
        <v>1406</v>
      </c>
      <c r="P11" s="7" t="s">
        <v>1872</v>
      </c>
    </row>
    <row r="12" customFormat="false" ht="23.25" hidden="false" customHeight="true" outlineLevel="0" collapsed="false">
      <c r="A12" s="7" t="s">
        <v>1873</v>
      </c>
      <c r="B12" s="7" t="s">
        <v>1874</v>
      </c>
      <c r="C12" s="7" t="s">
        <v>1875</v>
      </c>
      <c r="D12" s="7" t="s">
        <v>1876</v>
      </c>
      <c r="E12" s="7" t="s">
        <v>1829</v>
      </c>
      <c r="F12" s="30" t="n">
        <v>2</v>
      </c>
      <c r="G12" s="30" t="n">
        <v>3</v>
      </c>
      <c r="H12" s="86" t="n">
        <f aca="false">F12*G12</f>
        <v>6</v>
      </c>
      <c r="I12" s="5" t="str">
        <f aca="false">IF(H12&gt;=15,"Alto",IF(H12&gt;=8,"Medio","Bajo"))</f>
        <v>Bajo</v>
      </c>
      <c r="J12" s="38" t="n">
        <f aca="false">CHOOSE(F12,0.1,0.25,0.4,0.6,0.8)</f>
        <v>0.25</v>
      </c>
      <c r="K12" s="30" t="n">
        <v>60000000</v>
      </c>
      <c r="L12" s="32" t="n">
        <f aca="false">J12*K12</f>
        <v>15000000</v>
      </c>
      <c r="M12" s="7" t="s">
        <v>1830</v>
      </c>
      <c r="N12" s="7" t="s">
        <v>1877</v>
      </c>
      <c r="O12" s="7" t="s">
        <v>1378</v>
      </c>
      <c r="P12" s="7" t="s">
        <v>1878</v>
      </c>
    </row>
    <row r="13" customFormat="false" ht="23.25" hidden="false" customHeight="true" outlineLevel="0" collapsed="false">
      <c r="A13" s="7" t="s">
        <v>1879</v>
      </c>
      <c r="B13" s="7" t="s">
        <v>1880</v>
      </c>
      <c r="C13" s="7" t="s">
        <v>1881</v>
      </c>
      <c r="D13" s="7" t="s">
        <v>1882</v>
      </c>
      <c r="E13" s="7" t="s">
        <v>1829</v>
      </c>
      <c r="F13" s="30" t="n">
        <v>3</v>
      </c>
      <c r="G13" s="30" t="n">
        <v>3</v>
      </c>
      <c r="H13" s="86" t="n">
        <f aca="false">F13*G13</f>
        <v>9</v>
      </c>
      <c r="I13" s="5" t="str">
        <f aca="false">IF(H13&gt;=15,"Alto",IF(H13&gt;=8,"Medio","Bajo"))</f>
        <v>Medio</v>
      </c>
      <c r="J13" s="38" t="n">
        <f aca="false">CHOOSE(F13,0.1,0.25,0.4,0.6,0.8)</f>
        <v>0.4</v>
      </c>
      <c r="K13" s="30" t="n">
        <v>90000000</v>
      </c>
      <c r="L13" s="32" t="n">
        <f aca="false">J13*K13</f>
        <v>36000000</v>
      </c>
      <c r="M13" s="7" t="s">
        <v>1870</v>
      </c>
      <c r="N13" s="7" t="s">
        <v>1883</v>
      </c>
      <c r="O13" s="7" t="s">
        <v>1378</v>
      </c>
      <c r="P13" s="7" t="s">
        <v>1884</v>
      </c>
    </row>
    <row r="14" customFormat="false" ht="23.25" hidden="false" customHeight="true" outlineLevel="0" collapsed="false">
      <c r="A14" s="7" t="s">
        <v>1885</v>
      </c>
      <c r="B14" s="7" t="s">
        <v>1886</v>
      </c>
      <c r="C14" s="7" t="s">
        <v>1887</v>
      </c>
      <c r="D14" s="7" t="s">
        <v>1888</v>
      </c>
      <c r="E14" s="7" t="s">
        <v>1829</v>
      </c>
      <c r="F14" s="30" t="n">
        <v>2</v>
      </c>
      <c r="G14" s="30" t="n">
        <v>4</v>
      </c>
      <c r="H14" s="86" t="n">
        <f aca="false">F14*G14</f>
        <v>8</v>
      </c>
      <c r="I14" s="5" t="str">
        <f aca="false">IF(H14&gt;=15,"Alto",IF(H14&gt;=8,"Medio","Bajo"))</f>
        <v>Medio</v>
      </c>
      <c r="J14" s="38" t="n">
        <f aca="false">CHOOSE(F14,0.1,0.25,0.4,0.6,0.8)</f>
        <v>0.25</v>
      </c>
      <c r="K14" s="30" t="n">
        <v>120000000</v>
      </c>
      <c r="L14" s="32" t="n">
        <f aca="false">J14*K14</f>
        <v>30000000</v>
      </c>
      <c r="M14" s="7" t="s">
        <v>1830</v>
      </c>
      <c r="N14" s="7" t="s">
        <v>1889</v>
      </c>
      <c r="O14" s="7" t="s">
        <v>1385</v>
      </c>
      <c r="P14" s="7" t="s">
        <v>1890</v>
      </c>
    </row>
    <row r="15" customFormat="false" ht="23.25" hidden="false" customHeight="true" outlineLevel="0" collapsed="false">
      <c r="A15" s="7" t="s">
        <v>1891</v>
      </c>
      <c r="B15" s="7" t="s">
        <v>1892</v>
      </c>
      <c r="C15" s="7" t="s">
        <v>1893</v>
      </c>
      <c r="D15" s="7" t="s">
        <v>1894</v>
      </c>
      <c r="E15" s="7" t="s">
        <v>1829</v>
      </c>
      <c r="F15" s="30" t="n">
        <v>3</v>
      </c>
      <c r="G15" s="30" t="n">
        <v>2</v>
      </c>
      <c r="H15" s="86" t="n">
        <f aca="false">F15*G15</f>
        <v>6</v>
      </c>
      <c r="I15" s="5" t="str">
        <f aca="false">IF(H15&gt;=15,"Alto",IF(H15&gt;=8,"Medio","Bajo"))</f>
        <v>Bajo</v>
      </c>
      <c r="J15" s="38" t="n">
        <f aca="false">CHOOSE(F15,0.1,0.25,0.4,0.6,0.8)</f>
        <v>0.4</v>
      </c>
      <c r="K15" s="30" t="n">
        <v>60000000</v>
      </c>
      <c r="L15" s="32" t="n">
        <f aca="false">J15*K15</f>
        <v>24000000</v>
      </c>
      <c r="M15" s="7" t="s">
        <v>1830</v>
      </c>
      <c r="N15" s="7" t="s">
        <v>1895</v>
      </c>
      <c r="O15" s="7" t="s">
        <v>1378</v>
      </c>
      <c r="P15" s="7" t="s">
        <v>1896</v>
      </c>
    </row>
    <row r="16" customFormat="false" ht="23.25" hidden="false" customHeight="true" outlineLevel="0" collapsed="false">
      <c r="A16" s="7" t="s">
        <v>1897</v>
      </c>
      <c r="B16" s="7" t="s">
        <v>1898</v>
      </c>
      <c r="C16" s="7" t="s">
        <v>1899</v>
      </c>
      <c r="D16" s="7" t="s">
        <v>1900</v>
      </c>
      <c r="E16" s="7" t="s">
        <v>1857</v>
      </c>
      <c r="F16" s="30" t="n">
        <v>2</v>
      </c>
      <c r="G16" s="30" t="n">
        <v>4</v>
      </c>
      <c r="H16" s="86" t="n">
        <f aca="false">F16*G16</f>
        <v>8</v>
      </c>
      <c r="I16" s="5" t="str">
        <f aca="false">IF(H16&gt;=15,"Alto",IF(H16&gt;=8,"Medio","Bajo"))</f>
        <v>Medio</v>
      </c>
      <c r="J16" s="38" t="n">
        <f aca="false">CHOOSE(F16,0.1,0.25,0.4,0.6,0.8)</f>
        <v>0.25</v>
      </c>
      <c r="K16" s="30" t="n">
        <v>0</v>
      </c>
      <c r="L16" s="32" t="n">
        <f aca="false">J16*K16</f>
        <v>0</v>
      </c>
      <c r="M16" s="7" t="s">
        <v>1901</v>
      </c>
      <c r="N16" s="7" t="s">
        <v>1902</v>
      </c>
      <c r="O16" s="7" t="s">
        <v>1857</v>
      </c>
      <c r="P16" s="7" t="s">
        <v>1903</v>
      </c>
    </row>
    <row r="18" customFormat="false" ht="45.75" hidden="false" customHeight="true" outlineLevel="0" collapsed="false">
      <c r="B18" s="5" t="s">
        <v>1904</v>
      </c>
      <c r="L18" s="86" t="n">
        <f aca="false">SUMIFS(L5:L16,E5:E16,"Kuajo",M5:M16,"&lt;&gt;Transferir")+SUMIFS(L5:L16,E5:E16,"Kuajo",M5:M16,"Transferir")/3+0.5*SUMIFS(L5:L16,E5:E16,"Ambos")</f>
        <v>361833333.333333</v>
      </c>
    </row>
    <row r="19" customFormat="false" ht="23.25" hidden="false" customHeight="true" outlineLevel="0" collapsed="false">
      <c r="B19" s="5" t="s">
        <v>1905</v>
      </c>
      <c r="L19" s="33" t="n">
        <f aca="false">Precio_Kuajo!$B$16</f>
        <v>444243084.712032</v>
      </c>
    </row>
    <row r="20" customFormat="false" ht="23.25" hidden="false" customHeight="true" outlineLevel="0" collapsed="false">
      <c r="B20" s="5" t="s">
        <v>1906</v>
      </c>
      <c r="L20" s="65" t="n">
        <f aca="false">L19/L18</f>
        <v>1.22775610698857</v>
      </c>
    </row>
    <row r="23" customFormat="false" ht="34.5" hidden="false" customHeight="true" outlineLevel="0" collapsed="false">
      <c r="B23" s="5" t="s">
        <v>1907</v>
      </c>
    </row>
    <row r="24" customFormat="false" ht="15" hidden="false" customHeight="true" outlineLevel="0" collapsed="false">
      <c r="C24" s="4" t="s">
        <v>1908</v>
      </c>
      <c r="D24" s="4" t="s">
        <v>1909</v>
      </c>
      <c r="E24" s="4" t="s">
        <v>1910</v>
      </c>
      <c r="F24" s="4" t="s">
        <v>1911</v>
      </c>
      <c r="G24" s="4" t="s">
        <v>1912</v>
      </c>
    </row>
    <row r="25" customFormat="false" ht="15" hidden="false" customHeight="true" outlineLevel="0" collapsed="false">
      <c r="B25" s="4" t="s">
        <v>1913</v>
      </c>
      <c r="C25" s="114" t="n">
        <f aca="false">COUNTIFS($F$5:$F$16,5,$G$5:$G$16,1)</f>
        <v>0</v>
      </c>
      <c r="D25" s="115" t="n">
        <f aca="false">COUNTIFS($F$5:$F$16,5,$G$5:$G$16,2)</f>
        <v>0</v>
      </c>
      <c r="E25" s="116" t="n">
        <f aca="false">COUNTIFS($F$5:$F$16,5,$G$5:$G$16,3)</f>
        <v>0</v>
      </c>
      <c r="F25" s="116" t="n">
        <f aca="false">COUNTIFS($F$5:$F$16,5,$G$5:$G$16,4)</f>
        <v>0</v>
      </c>
      <c r="G25" s="116" t="n">
        <f aca="false">COUNTIFS($F$5:$F$16,5,$G$5:$G$16,5)</f>
        <v>0</v>
      </c>
    </row>
    <row r="26" customFormat="false" ht="15" hidden="false" customHeight="true" outlineLevel="0" collapsed="false">
      <c r="B26" s="4" t="s">
        <v>1914</v>
      </c>
      <c r="C26" s="114" t="n">
        <f aca="false">COUNTIFS($F$5:$F$16,4,$G$5:$G$16,1)</f>
        <v>0</v>
      </c>
      <c r="D26" s="115" t="n">
        <f aca="false">COUNTIFS($F$5:$F$16,4,$G$5:$G$16,2)</f>
        <v>0</v>
      </c>
      <c r="E26" s="115" t="n">
        <f aca="false">COUNTIFS($F$5:$F$16,4,$G$5:$G$16,3)</f>
        <v>0</v>
      </c>
      <c r="F26" s="116" t="n">
        <f aca="false">COUNTIFS($F$5:$F$16,4,$G$5:$G$16,4)</f>
        <v>0</v>
      </c>
      <c r="G26" s="116" t="n">
        <f aca="false">COUNTIFS($F$5:$F$16,4,$G$5:$G$16,5)</f>
        <v>0</v>
      </c>
    </row>
    <row r="27" customFormat="false" ht="15" hidden="false" customHeight="true" outlineLevel="0" collapsed="false">
      <c r="B27" s="4" t="s">
        <v>1915</v>
      </c>
      <c r="C27" s="114" t="n">
        <f aca="false">COUNTIFS($F$5:$F$16,3,$G$5:$G$16,1)</f>
        <v>0</v>
      </c>
      <c r="D27" s="114" t="n">
        <f aca="false">COUNTIFS($F$5:$F$16,3,$G$5:$G$16,2)</f>
        <v>1</v>
      </c>
      <c r="E27" s="115" t="n">
        <f aca="false">COUNTIFS($F$5:$F$16,3,$G$5:$G$16,3)</f>
        <v>3</v>
      </c>
      <c r="F27" s="115" t="n">
        <f aca="false">COUNTIFS($F$5:$F$16,3,$G$5:$G$16,4)</f>
        <v>2</v>
      </c>
      <c r="G27" s="116" t="n">
        <f aca="false">COUNTIFS($F$5:$F$16,3,$G$5:$G$16,5)</f>
        <v>0</v>
      </c>
    </row>
    <row r="28" customFormat="false" ht="15" hidden="false" customHeight="true" outlineLevel="0" collapsed="false">
      <c r="B28" s="4" t="s">
        <v>1916</v>
      </c>
      <c r="C28" s="114" t="n">
        <f aca="false">COUNTIFS($F$5:$F$16,2,$G$5:$G$16,1)</f>
        <v>0</v>
      </c>
      <c r="D28" s="114" t="n">
        <f aca="false">COUNTIFS($F$5:$F$16,2,$G$5:$G$16,2)</f>
        <v>0</v>
      </c>
      <c r="E28" s="114" t="n">
        <f aca="false">COUNTIFS($F$5:$F$16,2,$G$5:$G$16,3)</f>
        <v>1</v>
      </c>
      <c r="F28" s="115" t="n">
        <f aca="false">COUNTIFS($F$5:$F$16,2,$G$5:$G$16,4)</f>
        <v>4</v>
      </c>
      <c r="G28" s="115" t="n">
        <f aca="false">COUNTIFS($F$5:$F$16,2,$G$5:$G$16,5)</f>
        <v>1</v>
      </c>
    </row>
    <row r="29" customFormat="false" ht="15" hidden="false" customHeight="true" outlineLevel="0" collapsed="false">
      <c r="B29" s="4" t="s">
        <v>1917</v>
      </c>
      <c r="C29" s="114" t="n">
        <f aca="false">COUNTIFS($F$5:$F$16,1,$G$5:$G$16,1)</f>
        <v>0</v>
      </c>
      <c r="D29" s="114" t="n">
        <f aca="false">COUNTIFS($F$5:$F$16,1,$G$5:$G$16,2)</f>
        <v>0</v>
      </c>
      <c r="E29" s="114" t="n">
        <f aca="false">COUNTIFS($F$5:$F$16,1,$G$5:$G$16,3)</f>
        <v>0</v>
      </c>
      <c r="F29" s="114" t="n">
        <f aca="false">COUNTIFS($F$5:$F$16,1,$G$5:$G$16,4)</f>
        <v>0</v>
      </c>
      <c r="G29" s="114" t="n">
        <f aca="false">COUNTIFS($F$5:$F$16,1,$G$5:$G$16,5)</f>
        <v>0</v>
      </c>
    </row>
  </sheetData>
  <conditionalFormatting sqref="I5:I16">
    <cfRule type="cellIs" priority="2" operator="equal" aboveAverage="0" equalAverage="0" bottom="0" percent="0" rank="0" text="" dxfId="3">
      <formula>"Alto"</formula>
    </cfRule>
    <cfRule type="cellIs" priority="3" operator="equal" aboveAverage="0" equalAverage="0" bottom="0" percent="0" rank="0" text="" dxfId="4">
      <formula>"Medio"</formula>
    </cfRule>
    <cfRule type="cellIs" priority="4" operator="equal" aboveAverage="0" equalAverage="0" bottom="0" percent="0" rank="0" text="" dxfId="5">
      <formula>"Bajo"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7"/>
    <col collapsed="false" customWidth="true" hidden="false" outlineLevel="0" max="3" min="3" style="1" width="24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40"/>
    <col collapsed="false" customWidth="true" hidden="false" outlineLevel="0" max="8" min="7" style="1" width="9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12"/>
    <col collapsed="false" customWidth="true" hidden="false" outlineLevel="0" max="12" min="12" style="1" width="16"/>
  </cols>
  <sheetData>
    <row r="1" customFormat="false" ht="17.25" hidden="false" customHeight="true" outlineLevel="0" collapsed="false">
      <c r="A1" s="2" t="s">
        <v>1918</v>
      </c>
    </row>
    <row r="2" customFormat="false" ht="15" hidden="false" customHeight="true" outlineLevel="0" collapsed="false">
      <c r="A2" s="3" t="s">
        <v>1919</v>
      </c>
    </row>
    <row r="4" customFormat="false" ht="34.5" hidden="false" customHeight="true" outlineLevel="0" collapsed="false">
      <c r="A4" s="4" t="s">
        <v>933</v>
      </c>
      <c r="B4" s="4" t="s">
        <v>1920</v>
      </c>
      <c r="C4" s="4" t="s">
        <v>1921</v>
      </c>
      <c r="D4" s="4" t="s">
        <v>1922</v>
      </c>
      <c r="E4" s="4" t="s">
        <v>1923</v>
      </c>
      <c r="F4" s="4" t="s">
        <v>1924</v>
      </c>
      <c r="G4" s="4" t="s">
        <v>1925</v>
      </c>
      <c r="H4" s="4" t="s">
        <v>1926</v>
      </c>
      <c r="I4" s="4" t="s">
        <v>1927</v>
      </c>
      <c r="J4" s="4" t="s">
        <v>1928</v>
      </c>
      <c r="K4" s="4" t="s">
        <v>1929</v>
      </c>
      <c r="L4" s="4" t="s">
        <v>1348</v>
      </c>
    </row>
    <row r="5" customFormat="false" ht="23.25" hidden="false" customHeight="true" outlineLevel="0" collapsed="false">
      <c r="A5" s="7" t="s">
        <v>941</v>
      </c>
      <c r="B5" s="33" t="n">
        <f aca="false">SUMIFS(Cotizaciones!$J$5:$J$70,Cotizaciones!$M$5:$M$70,A5)</f>
        <v>444864981.225456</v>
      </c>
      <c r="C5" s="7" t="s">
        <v>1930</v>
      </c>
      <c r="D5" s="7" t="s">
        <v>1931</v>
      </c>
      <c r="E5" s="7" t="s">
        <v>1932</v>
      </c>
      <c r="F5" s="7" t="s">
        <v>1933</v>
      </c>
      <c r="G5" s="30" t="n">
        <v>12</v>
      </c>
      <c r="H5" s="7" t="s">
        <v>1415</v>
      </c>
      <c r="I5" s="73" t="n">
        <f aca="false">Cronograma!$C$3+Cronograma!F22*7</f>
        <v>46482</v>
      </c>
      <c r="J5" s="7" t="s">
        <v>1086</v>
      </c>
      <c r="K5" s="73" t="n">
        <f aca="false">Cronograma!$C$3+Cronograma!H33*7</f>
        <v>46629</v>
      </c>
      <c r="L5" s="7" t="s">
        <v>1397</v>
      </c>
    </row>
    <row r="6" customFormat="false" ht="23.25" hidden="false" customHeight="true" outlineLevel="0" collapsed="false">
      <c r="A6" s="7" t="s">
        <v>970</v>
      </c>
      <c r="B6" s="33" t="n">
        <f aca="false">SUMIFS(Cotizaciones!$J$5:$J$70,Cotizaciones!$M$5:$M$70,A6)</f>
        <v>159091614</v>
      </c>
      <c r="C6" s="7" t="s">
        <v>1930</v>
      </c>
      <c r="D6" s="7" t="s">
        <v>1931</v>
      </c>
      <c r="E6" s="7" t="s">
        <v>1934</v>
      </c>
      <c r="F6" s="7" t="s">
        <v>1935</v>
      </c>
      <c r="G6" s="30" t="n">
        <v>12</v>
      </c>
      <c r="H6" s="7" t="s">
        <v>1415</v>
      </c>
      <c r="I6" s="73" t="n">
        <f aca="false">Cronograma!$C$3+Cronograma!F22*7</f>
        <v>46482</v>
      </c>
      <c r="J6" s="7" t="s">
        <v>1086</v>
      </c>
      <c r="K6" s="73" t="n">
        <f aca="false">Cronograma!$C$3+Cronograma!H33*7</f>
        <v>46629</v>
      </c>
      <c r="L6" s="7" t="s">
        <v>1388</v>
      </c>
    </row>
    <row r="7" customFormat="false" ht="23.25" hidden="false" customHeight="true" outlineLevel="0" collapsed="false">
      <c r="A7" s="7" t="s">
        <v>973</v>
      </c>
      <c r="B7" s="33" t="n">
        <f aca="false">SUMIFS(Cotizaciones!$J$5:$J$70,Cotizaciones!$M$5:$M$70,A7)</f>
        <v>452527257.6</v>
      </c>
      <c r="C7" s="7" t="s">
        <v>1930</v>
      </c>
      <c r="D7" s="7" t="s">
        <v>1931</v>
      </c>
      <c r="E7" s="7" t="s">
        <v>1936</v>
      </c>
      <c r="F7" s="7" t="s">
        <v>1937</v>
      </c>
      <c r="G7" s="30" t="n">
        <v>12</v>
      </c>
      <c r="H7" s="7" t="s">
        <v>1415</v>
      </c>
      <c r="I7" s="73" t="n">
        <f aca="false">Cronograma!$C$3+Cronograma!F22*7</f>
        <v>46482</v>
      </c>
      <c r="J7" s="7" t="s">
        <v>1086</v>
      </c>
      <c r="K7" s="73" t="n">
        <f aca="false">Cronograma!$C$3+Cronograma!H33*7</f>
        <v>46629</v>
      </c>
      <c r="L7" s="7" t="s">
        <v>1388</v>
      </c>
    </row>
    <row r="8" customFormat="false" ht="23.25" hidden="false" customHeight="true" outlineLevel="0" collapsed="false">
      <c r="A8" s="7" t="s">
        <v>984</v>
      </c>
      <c r="B8" s="33" t="n">
        <f aca="false">SUMIFS(Cotizaciones!$J$5:$J$70,Cotizaciones!$M$5:$M$70,A8)</f>
        <v>669952463.4</v>
      </c>
      <c r="C8" s="7" t="s">
        <v>1930</v>
      </c>
      <c r="D8" s="7" t="s">
        <v>1931</v>
      </c>
      <c r="E8" s="7" t="s">
        <v>1938</v>
      </c>
      <c r="F8" s="7" t="s">
        <v>1939</v>
      </c>
      <c r="G8" s="30" t="n">
        <v>12</v>
      </c>
      <c r="H8" s="7" t="s">
        <v>1415</v>
      </c>
      <c r="I8" s="73" t="n">
        <f aca="false">Cronograma!$C$3+Cronograma!F22*7</f>
        <v>46482</v>
      </c>
      <c r="J8" s="7" t="s">
        <v>1086</v>
      </c>
      <c r="K8" s="73" t="n">
        <f aca="false">Cronograma!$C$3+Cronograma!H33*7</f>
        <v>46629</v>
      </c>
      <c r="L8" s="7" t="s">
        <v>1385</v>
      </c>
    </row>
    <row r="9" customFormat="false" ht="34.5" hidden="false" customHeight="true" outlineLevel="0" collapsed="false">
      <c r="A9" s="7" t="s">
        <v>996</v>
      </c>
      <c r="B9" s="33" t="n">
        <f aca="false">SUMIFS(Cotizaciones!$J$5:$J$70,Cotizaciones!$M$5:$M$70,A9)</f>
        <v>279294166.8</v>
      </c>
      <c r="C9" s="7" t="s">
        <v>1930</v>
      </c>
      <c r="D9" s="7" t="s">
        <v>1940</v>
      </c>
      <c r="E9" s="7" t="s">
        <v>1941</v>
      </c>
      <c r="F9" s="7" t="s">
        <v>1942</v>
      </c>
      <c r="G9" s="30" t="n">
        <v>10</v>
      </c>
      <c r="H9" s="7" t="s">
        <v>992</v>
      </c>
      <c r="I9" s="73" t="n">
        <f aca="false">Cronograma!$C$3+Cronograma!F25*7</f>
        <v>46510</v>
      </c>
      <c r="J9" s="7" t="s">
        <v>1090</v>
      </c>
      <c r="K9" s="73" t="n">
        <f aca="false">Cronograma!$C$3+Cronograma!H34*7</f>
        <v>46629</v>
      </c>
      <c r="L9" s="7" t="s">
        <v>1397</v>
      </c>
    </row>
    <row r="10" customFormat="false" ht="23.25" hidden="false" customHeight="true" outlineLevel="0" collapsed="false">
      <c r="A10" s="7" t="s">
        <v>1004</v>
      </c>
      <c r="B10" s="33" t="n">
        <f aca="false">SUMIFS(Cotizaciones!$J$5:$J$70,Cotizaciones!$M$5:$M$70,A10)</f>
        <v>544541989.8</v>
      </c>
      <c r="C10" s="7" t="s">
        <v>1930</v>
      </c>
      <c r="D10" s="7" t="s">
        <v>1931</v>
      </c>
      <c r="E10" s="7" t="s">
        <v>1943</v>
      </c>
      <c r="F10" s="7" t="s">
        <v>1944</v>
      </c>
      <c r="G10" s="30" t="n">
        <v>10</v>
      </c>
      <c r="H10" s="7" t="s">
        <v>992</v>
      </c>
      <c r="I10" s="73" t="n">
        <f aca="false">Cronograma!$C$3+Cronograma!F25*7</f>
        <v>46510</v>
      </c>
      <c r="J10" s="7" t="s">
        <v>1093</v>
      </c>
      <c r="K10" s="73" t="n">
        <f aca="false">Cronograma!$C$3+Cronograma!H36*7</f>
        <v>46615</v>
      </c>
      <c r="L10" s="7" t="s">
        <v>1406</v>
      </c>
    </row>
    <row r="11" customFormat="false" ht="23.25" hidden="false" customHeight="true" outlineLevel="0" collapsed="false">
      <c r="A11" s="7" t="s">
        <v>1024</v>
      </c>
      <c r="B11" s="33" t="n">
        <f aca="false">SUMIFS(Cotizaciones!$J$5:$J$70,Cotizaciones!$M$5:$M$70,A11)</f>
        <v>1466671836</v>
      </c>
      <c r="C11" s="7" t="s">
        <v>1945</v>
      </c>
      <c r="D11" s="7" t="s">
        <v>1946</v>
      </c>
      <c r="E11" s="7" t="s">
        <v>1947</v>
      </c>
      <c r="F11" s="7" t="s">
        <v>1948</v>
      </c>
      <c r="G11" s="30" t="n">
        <v>20</v>
      </c>
      <c r="H11" s="7" t="s">
        <v>1020</v>
      </c>
      <c r="I11" s="73" t="n">
        <f aca="false">Cronograma!$C$3+Cronograma!F24*7</f>
        <v>46475</v>
      </c>
      <c r="J11" s="7" t="s">
        <v>1095</v>
      </c>
      <c r="K11" s="73" t="n">
        <f aca="false">Cronograma!$C$3+Cronograma!H35*7</f>
        <v>46629</v>
      </c>
      <c r="L11" s="7" t="s">
        <v>1397</v>
      </c>
    </row>
    <row r="12" customFormat="false" ht="23.25" hidden="false" customHeight="true" outlineLevel="0" collapsed="false">
      <c r="A12" s="7" t="s">
        <v>1043</v>
      </c>
      <c r="B12" s="33" t="n">
        <f aca="false">SUMIFS(Cotizaciones!$J$5:$J$70,Cotizaciones!$M$5:$M$70,A12)</f>
        <v>138951466.775</v>
      </c>
      <c r="C12" s="7" t="s">
        <v>1949</v>
      </c>
      <c r="D12" s="7" t="s">
        <v>1950</v>
      </c>
      <c r="E12" s="7" t="s">
        <v>1951</v>
      </c>
      <c r="F12" s="7" t="s">
        <v>1952</v>
      </c>
      <c r="G12" s="30" t="n">
        <v>1</v>
      </c>
      <c r="H12" s="7" t="s">
        <v>1038</v>
      </c>
      <c r="I12" s="73" t="n">
        <f aca="false">Cronograma!$C$3+Cronograma!F27*7</f>
        <v>46503</v>
      </c>
      <c r="J12" s="7" t="s">
        <v>1425</v>
      </c>
      <c r="K12" s="73" t="n">
        <f aca="false">Cronograma!$C$3+Cronograma!H29*7</f>
        <v>46587</v>
      </c>
      <c r="L12" s="7" t="s">
        <v>1406</v>
      </c>
    </row>
    <row r="13" customFormat="false" ht="15" hidden="false" customHeight="true" outlineLevel="0" collapsed="false">
      <c r="A13" s="7" t="s">
        <v>1062</v>
      </c>
      <c r="B13" s="33" t="n">
        <f aca="false">SUMIFS(Cotizaciones!$J$5:$J$70,Cotizaciones!$M$5:$M$70,A13)</f>
        <v>410495646</v>
      </c>
      <c r="C13" s="7" t="s">
        <v>1949</v>
      </c>
      <c r="D13" s="7" t="s">
        <v>1950</v>
      </c>
      <c r="E13" s="7" t="s">
        <v>1953</v>
      </c>
      <c r="F13" s="7" t="s">
        <v>1954</v>
      </c>
      <c r="G13" s="30" t="n">
        <v>1</v>
      </c>
      <c r="H13" s="7" t="s">
        <v>1038</v>
      </c>
      <c r="I13" s="73" t="n">
        <f aca="false">Cronograma!$C$3+Cronograma!F27*7</f>
        <v>46503</v>
      </c>
      <c r="J13" s="7" t="s">
        <v>1425</v>
      </c>
      <c r="K13" s="73" t="n">
        <f aca="false">Cronograma!$C$3+Cronograma!H29*7</f>
        <v>46587</v>
      </c>
      <c r="L13" s="7" t="s">
        <v>1391</v>
      </c>
    </row>
    <row r="14" customFormat="false" ht="23.25" hidden="false" customHeight="true" outlineLevel="0" collapsed="false">
      <c r="A14" s="7" t="s">
        <v>1081</v>
      </c>
      <c r="B14" s="33" t="n">
        <f aca="false">SUMIFS(Cotizaciones!$J$5:$J$70,Cotizaciones!$M$5:$M$70,A14)</f>
        <v>225000000</v>
      </c>
      <c r="C14" s="7" t="s">
        <v>1955</v>
      </c>
      <c r="D14" s="7" t="s">
        <v>1931</v>
      </c>
      <c r="E14" s="7" t="s">
        <v>1956</v>
      </c>
      <c r="F14" s="7" t="s">
        <v>1957</v>
      </c>
      <c r="G14" s="30" t="n">
        <v>6</v>
      </c>
      <c r="H14" s="7" t="s">
        <v>1077</v>
      </c>
      <c r="I14" s="73" t="n">
        <f aca="false">Cronograma!$C$3+Cronograma!F26*7</f>
        <v>46580</v>
      </c>
      <c r="J14" s="7" t="s">
        <v>1090</v>
      </c>
      <c r="K14" s="73" t="n">
        <f aca="false">Cronograma!$C$3+Cronograma!H34*7</f>
        <v>46629</v>
      </c>
      <c r="L14" s="7" t="s">
        <v>1397</v>
      </c>
    </row>
    <row r="15" customFormat="false" ht="15" hidden="false" customHeight="true" outlineLevel="0" collapsed="false">
      <c r="A15" s="7" t="s">
        <v>1085</v>
      </c>
      <c r="B15" s="33" t="n">
        <f aca="false">SUMIFS(Cotizaciones!$J$5:$J$70,Cotizaciones!$M$5:$M$70,A15)</f>
        <v>120000000</v>
      </c>
      <c r="C15" s="7" t="s">
        <v>1955</v>
      </c>
      <c r="D15" s="7" t="s">
        <v>1931</v>
      </c>
      <c r="E15" s="7" t="s">
        <v>1958</v>
      </c>
      <c r="F15" s="7" t="s">
        <v>1959</v>
      </c>
      <c r="G15" s="30" t="n">
        <v>3</v>
      </c>
      <c r="H15" s="7" t="s">
        <v>1082</v>
      </c>
      <c r="I15" s="73" t="n">
        <f aca="false">Cronograma!$C$3+Cronograma!F32*7</f>
        <v>46573</v>
      </c>
      <c r="J15" s="7" t="s">
        <v>1095</v>
      </c>
      <c r="K15" s="73" t="n">
        <f aca="false">Cronograma!$C$3+Cronograma!H35*7</f>
        <v>46629</v>
      </c>
      <c r="L15" s="7" t="s">
        <v>1385</v>
      </c>
    </row>
    <row r="16" customFormat="false" ht="23.25" hidden="false" customHeight="true" outlineLevel="0" collapsed="false">
      <c r="A16" s="7" t="s">
        <v>1089</v>
      </c>
      <c r="B16" s="33" t="n">
        <f aca="false">SUMIFS(Cotizaciones!$J$5:$J$70,Cotizaciones!$M$5:$M$70,A16)</f>
        <v>380000000</v>
      </c>
      <c r="C16" s="7" t="s">
        <v>1960</v>
      </c>
      <c r="D16" s="7" t="s">
        <v>1931</v>
      </c>
      <c r="E16" s="7" t="s">
        <v>1961</v>
      </c>
      <c r="F16" s="7" t="s">
        <v>1962</v>
      </c>
      <c r="G16" s="30" t="n">
        <v>2</v>
      </c>
      <c r="H16" s="7" t="s">
        <v>1086</v>
      </c>
      <c r="I16" s="73" t="n">
        <f aca="false">Cronograma!$C$3+Cronograma!F33*7</f>
        <v>46629</v>
      </c>
      <c r="J16" s="7" t="s">
        <v>1442</v>
      </c>
      <c r="K16" s="73" t="n">
        <f aca="false">Cronograma!$C$3+Cronograma!H37*7</f>
        <v>46643</v>
      </c>
      <c r="L16" s="7" t="s">
        <v>1385</v>
      </c>
    </row>
    <row r="17" customFormat="false" ht="23.25" hidden="false" customHeight="true" outlineLevel="0" collapsed="false">
      <c r="A17" s="7" t="s">
        <v>1092</v>
      </c>
      <c r="B17" s="33" t="n">
        <f aca="false">SUMIFS(Cotizaciones!$J$5:$J$70,Cotizaciones!$M$5:$M$70,A17)</f>
        <v>450000000</v>
      </c>
      <c r="C17" s="7" t="s">
        <v>1960</v>
      </c>
      <c r="D17" s="7" t="s">
        <v>1931</v>
      </c>
      <c r="E17" s="7" t="s">
        <v>1963</v>
      </c>
      <c r="F17" s="7" t="s">
        <v>1964</v>
      </c>
      <c r="G17" s="30" t="n">
        <v>2</v>
      </c>
      <c r="H17" s="7" t="s">
        <v>1090</v>
      </c>
      <c r="I17" s="73" t="n">
        <f aca="false">Cronograma!$C$3+Cronograma!F34*7</f>
        <v>46629</v>
      </c>
      <c r="J17" s="7" t="s">
        <v>1442</v>
      </c>
      <c r="K17" s="73" t="n">
        <f aca="false">Cronograma!$C$3+Cronograma!H37*7</f>
        <v>46643</v>
      </c>
      <c r="L17" s="7" t="s">
        <v>1397</v>
      </c>
    </row>
    <row r="18" customFormat="false" ht="23.25" hidden="false" customHeight="true" outlineLevel="0" collapsed="false">
      <c r="A18" s="7" t="s">
        <v>1098</v>
      </c>
      <c r="B18" s="33" t="n">
        <f aca="false">SUMIFS(Cotizaciones!$J$5:$J$70,Cotizaciones!$M$5:$M$70,A18)</f>
        <v>30000000</v>
      </c>
      <c r="C18" s="7" t="s">
        <v>1965</v>
      </c>
      <c r="D18" s="7" t="s">
        <v>1966</v>
      </c>
      <c r="E18" s="7" t="s">
        <v>1967</v>
      </c>
      <c r="F18" s="7" t="s">
        <v>1968</v>
      </c>
      <c r="G18" s="30" t="n">
        <v>1</v>
      </c>
      <c r="H18" s="7" t="s">
        <v>1082</v>
      </c>
      <c r="I18" s="73" t="n">
        <f aca="false">Cronograma!$C$3+Cronograma!F32*7</f>
        <v>46573</v>
      </c>
      <c r="J18" s="7" t="s">
        <v>1095</v>
      </c>
      <c r="K18" s="73" t="n">
        <f aca="false">Cronograma!$C$3+Cronograma!H35*7</f>
        <v>46629</v>
      </c>
      <c r="L18" s="7" t="s">
        <v>1385</v>
      </c>
    </row>
    <row r="19" customFormat="false" ht="15" hidden="false" customHeight="true" outlineLevel="0" collapsed="false">
      <c r="A19" s="34" t="s">
        <v>312</v>
      </c>
      <c r="B19" s="36" t="n">
        <f aca="false">SUM(B5:B18)</f>
        <v>5771391421.60046</v>
      </c>
    </row>
    <row r="20" customFormat="false" ht="45.75" hidden="false" customHeight="true" outlineLevel="0" collapsed="false">
      <c r="A20" s="7" t="s">
        <v>1969</v>
      </c>
      <c r="B20" s="32" t="n">
        <f aca="false">B19-Cotizaciones!$J$71</f>
        <v>0</v>
      </c>
    </row>
    <row r="22" customFormat="false" ht="57" hidden="false" customHeight="true" outlineLevel="0" collapsed="false">
      <c r="A22" s="12" t="s">
        <v>1970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customFormat="false" ht="57" hidden="false" customHeight="true" outlineLevel="0" collapsed="false">
      <c r="A23" s="4" t="s">
        <v>933</v>
      </c>
      <c r="B23" s="4" t="s">
        <v>1971</v>
      </c>
      <c r="C23" s="4" t="s">
        <v>1972</v>
      </c>
      <c r="D23" s="4" t="s">
        <v>1973</v>
      </c>
      <c r="E23" s="4" t="s">
        <v>1974</v>
      </c>
      <c r="F23" s="4" t="s">
        <v>1975</v>
      </c>
      <c r="G23" s="4" t="s">
        <v>1976</v>
      </c>
      <c r="H23" s="4" t="s">
        <v>1977</v>
      </c>
      <c r="I23" s="4" t="s">
        <v>1978</v>
      </c>
      <c r="J23" s="4" t="s">
        <v>1979</v>
      </c>
      <c r="K23" s="4" t="s">
        <v>1369</v>
      </c>
      <c r="L23" s="4" t="s">
        <v>315</v>
      </c>
    </row>
    <row r="24" customFormat="false" ht="79.5" hidden="false" customHeight="true" outlineLevel="0" collapsed="false">
      <c r="A24" s="7" t="s">
        <v>941</v>
      </c>
      <c r="B24" s="7" t="s">
        <v>1980</v>
      </c>
      <c r="C24" s="7" t="s">
        <v>1981</v>
      </c>
      <c r="D24" s="41" t="n">
        <v>7</v>
      </c>
      <c r="E24" s="41" t="n">
        <v>2.5</v>
      </c>
      <c r="F24" s="41" t="n">
        <v>1</v>
      </c>
      <c r="G24" s="41" t="n">
        <v>0.5</v>
      </c>
      <c r="H24" s="41" t="n">
        <v>1</v>
      </c>
      <c r="I24" s="44" t="n">
        <f aca="false">SUM(D24:H24)</f>
        <v>12</v>
      </c>
      <c r="J24" s="40" t="n">
        <f aca="false">INDEX($G$5:$G$18,MATCH(A24,$A$5:$A$18,0))</f>
        <v>12</v>
      </c>
      <c r="K24" s="40" t="n">
        <f aca="false">I24-J24</f>
        <v>0</v>
      </c>
      <c r="L24" s="7" t="s">
        <v>1982</v>
      </c>
    </row>
    <row r="25" customFormat="false" ht="68.25" hidden="false" customHeight="true" outlineLevel="0" collapsed="false">
      <c r="A25" s="7" t="s">
        <v>970</v>
      </c>
      <c r="B25" s="7" t="s">
        <v>1983</v>
      </c>
      <c r="C25" s="7" t="s">
        <v>1984</v>
      </c>
      <c r="D25" s="41" t="n">
        <v>8</v>
      </c>
      <c r="E25" s="41" t="n">
        <v>1</v>
      </c>
      <c r="F25" s="41" t="n">
        <v>1</v>
      </c>
      <c r="G25" s="41" t="n">
        <v>0.5</v>
      </c>
      <c r="H25" s="41" t="n">
        <v>1.5</v>
      </c>
      <c r="I25" s="44" t="n">
        <f aca="false">SUM(D25:H25)</f>
        <v>12</v>
      </c>
      <c r="J25" s="40" t="n">
        <f aca="false">INDEX($G$5:$G$18,MATCH(A25,$A$5:$A$18,0))</f>
        <v>12</v>
      </c>
      <c r="K25" s="40" t="n">
        <f aca="false">I25-J25</f>
        <v>0</v>
      </c>
      <c r="L25" s="7" t="s">
        <v>1985</v>
      </c>
    </row>
    <row r="26" customFormat="false" ht="34.5" hidden="false" customHeight="true" outlineLevel="0" collapsed="false">
      <c r="A26" s="7" t="s">
        <v>973</v>
      </c>
      <c r="B26" s="7" t="s">
        <v>1986</v>
      </c>
      <c r="C26" s="7" t="s">
        <v>1987</v>
      </c>
      <c r="D26" s="41" t="n">
        <v>7</v>
      </c>
      <c r="E26" s="41" t="n">
        <v>2.5</v>
      </c>
      <c r="F26" s="41" t="n">
        <v>1</v>
      </c>
      <c r="G26" s="41" t="n">
        <v>0.5</v>
      </c>
      <c r="H26" s="41" t="n">
        <v>1</v>
      </c>
      <c r="I26" s="44" t="n">
        <f aca="false">SUM(D26:H26)</f>
        <v>12</v>
      </c>
      <c r="J26" s="40" t="n">
        <f aca="false">INDEX($G$5:$G$18,MATCH(A26,$A$5:$A$18,0))</f>
        <v>12</v>
      </c>
      <c r="K26" s="40" t="n">
        <f aca="false">I26-J26</f>
        <v>0</v>
      </c>
      <c r="L26" s="7" t="s">
        <v>1988</v>
      </c>
    </row>
    <row r="27" customFormat="false" ht="45.75" hidden="false" customHeight="true" outlineLevel="0" collapsed="false">
      <c r="A27" s="7" t="s">
        <v>984</v>
      </c>
      <c r="B27" s="7" t="s">
        <v>1989</v>
      </c>
      <c r="C27" s="7" t="s">
        <v>1987</v>
      </c>
      <c r="D27" s="41" t="n">
        <v>7</v>
      </c>
      <c r="E27" s="41" t="n">
        <v>2.5</v>
      </c>
      <c r="F27" s="41" t="n">
        <v>1</v>
      </c>
      <c r="G27" s="41" t="n">
        <v>0.5</v>
      </c>
      <c r="H27" s="41" t="n">
        <v>1</v>
      </c>
      <c r="I27" s="44" t="n">
        <f aca="false">SUM(D27:H27)</f>
        <v>12</v>
      </c>
      <c r="J27" s="40" t="n">
        <f aca="false">INDEX($G$5:$G$18,MATCH(A27,$A$5:$A$18,0))</f>
        <v>12</v>
      </c>
      <c r="K27" s="40" t="n">
        <f aca="false">I27-J27</f>
        <v>0</v>
      </c>
      <c r="L27" s="7" t="s">
        <v>1990</v>
      </c>
    </row>
    <row r="28" customFormat="false" ht="45.75" hidden="false" customHeight="true" outlineLevel="0" collapsed="false">
      <c r="A28" s="7" t="s">
        <v>996</v>
      </c>
      <c r="B28" s="7" t="s">
        <v>1991</v>
      </c>
      <c r="C28" s="7" t="s">
        <v>1992</v>
      </c>
      <c r="D28" s="41" t="n">
        <v>5</v>
      </c>
      <c r="E28" s="41" t="n">
        <v>1</v>
      </c>
      <c r="F28" s="41" t="n">
        <v>1</v>
      </c>
      <c r="G28" s="41" t="n">
        <v>0.5</v>
      </c>
      <c r="H28" s="41" t="n">
        <v>2.5</v>
      </c>
      <c r="I28" s="44" t="n">
        <f aca="false">SUM(D28:H28)</f>
        <v>10</v>
      </c>
      <c r="J28" s="40" t="n">
        <f aca="false">INDEX($G$5:$G$18,MATCH(A28,$A$5:$A$18,0))</f>
        <v>10</v>
      </c>
      <c r="K28" s="40" t="n">
        <f aca="false">I28-J28</f>
        <v>0</v>
      </c>
      <c r="L28" s="7" t="s">
        <v>1993</v>
      </c>
    </row>
    <row r="29" customFormat="false" ht="45.75" hidden="false" customHeight="true" outlineLevel="0" collapsed="false">
      <c r="A29" s="7" t="s">
        <v>1004</v>
      </c>
      <c r="B29" s="7" t="s">
        <v>1994</v>
      </c>
      <c r="C29" s="7" t="s">
        <v>1992</v>
      </c>
      <c r="D29" s="41" t="n">
        <v>5</v>
      </c>
      <c r="E29" s="41" t="n">
        <v>1</v>
      </c>
      <c r="F29" s="41" t="n">
        <v>1</v>
      </c>
      <c r="G29" s="41" t="n">
        <v>0.5</v>
      </c>
      <c r="H29" s="41" t="n">
        <v>2.5</v>
      </c>
      <c r="I29" s="44" t="n">
        <f aca="false">SUM(D29:H29)</f>
        <v>10</v>
      </c>
      <c r="J29" s="40" t="n">
        <f aca="false">INDEX($G$5:$G$18,MATCH(A29,$A$5:$A$18,0))</f>
        <v>10</v>
      </c>
      <c r="K29" s="40" t="n">
        <f aca="false">I29-J29</f>
        <v>0</v>
      </c>
      <c r="L29" s="7" t="s">
        <v>1995</v>
      </c>
    </row>
    <row r="30" customFormat="false" ht="90.75" hidden="false" customHeight="true" outlineLevel="0" collapsed="false">
      <c r="A30" s="7" t="s">
        <v>1024</v>
      </c>
      <c r="B30" s="7" t="s">
        <v>1996</v>
      </c>
      <c r="C30" s="7" t="s">
        <v>1987</v>
      </c>
      <c r="D30" s="41" t="n">
        <v>12</v>
      </c>
      <c r="E30" s="41" t="n">
        <v>3</v>
      </c>
      <c r="F30" s="41" t="n">
        <v>1</v>
      </c>
      <c r="G30" s="41" t="n">
        <v>0.5</v>
      </c>
      <c r="H30" s="41" t="n">
        <v>3.5</v>
      </c>
      <c r="I30" s="44" t="n">
        <f aca="false">SUM(D30:H30)</f>
        <v>20</v>
      </c>
      <c r="J30" s="40" t="n">
        <f aca="false">INDEX($G$5:$G$18,MATCH(A30,$A$5:$A$18,0))</f>
        <v>20</v>
      </c>
      <c r="K30" s="40" t="n">
        <f aca="false">I30-J30</f>
        <v>0</v>
      </c>
      <c r="L30" s="7" t="s">
        <v>1997</v>
      </c>
    </row>
    <row r="31" customFormat="false" ht="45.75" hidden="false" customHeight="true" outlineLevel="0" collapsed="false">
      <c r="A31" s="7" t="s">
        <v>1043</v>
      </c>
      <c r="B31" s="7" t="s">
        <v>1998</v>
      </c>
      <c r="C31" s="7" t="s">
        <v>1253</v>
      </c>
      <c r="D31" s="41" t="n">
        <v>0</v>
      </c>
      <c r="E31" s="41" t="n">
        <v>0</v>
      </c>
      <c r="F31" s="41" t="n">
        <v>0</v>
      </c>
      <c r="G31" s="41" t="n">
        <v>0</v>
      </c>
      <c r="H31" s="41" t="n">
        <v>1</v>
      </c>
      <c r="I31" s="44" t="n">
        <f aca="false">SUM(D31:H31)</f>
        <v>1</v>
      </c>
      <c r="J31" s="40" t="n">
        <f aca="false">INDEX($G$5:$G$18,MATCH(A31,$A$5:$A$18,0))</f>
        <v>1</v>
      </c>
      <c r="K31" s="40" t="n">
        <f aca="false">I31-J31</f>
        <v>0</v>
      </c>
      <c r="L31" s="7" t="s">
        <v>1999</v>
      </c>
    </row>
    <row r="32" customFormat="false" ht="45.75" hidden="false" customHeight="true" outlineLevel="0" collapsed="false">
      <c r="A32" s="7" t="s">
        <v>1062</v>
      </c>
      <c r="B32" s="7" t="s">
        <v>1998</v>
      </c>
      <c r="C32" s="7" t="s">
        <v>1253</v>
      </c>
      <c r="D32" s="41" t="n">
        <v>0</v>
      </c>
      <c r="E32" s="41" t="n">
        <v>0</v>
      </c>
      <c r="F32" s="41" t="n">
        <v>0</v>
      </c>
      <c r="G32" s="41" t="n">
        <v>0</v>
      </c>
      <c r="H32" s="41" t="n">
        <v>1</v>
      </c>
      <c r="I32" s="44" t="n">
        <f aca="false">SUM(D32:H32)</f>
        <v>1</v>
      </c>
      <c r="J32" s="40" t="n">
        <f aca="false">INDEX($G$5:$G$18,MATCH(A32,$A$5:$A$18,0))</f>
        <v>1</v>
      </c>
      <c r="K32" s="40" t="n">
        <f aca="false">I32-J32</f>
        <v>0</v>
      </c>
      <c r="L32" s="7" t="s">
        <v>1999</v>
      </c>
    </row>
    <row r="33" customFormat="false" ht="34.5" hidden="false" customHeight="true" outlineLevel="0" collapsed="false">
      <c r="A33" s="7" t="s">
        <v>1081</v>
      </c>
      <c r="B33" s="7" t="s">
        <v>2000</v>
      </c>
      <c r="C33" s="7" t="s">
        <v>2001</v>
      </c>
      <c r="D33" s="41" t="n">
        <v>5</v>
      </c>
      <c r="E33" s="41" t="n">
        <v>0</v>
      </c>
      <c r="F33" s="41" t="n">
        <v>0</v>
      </c>
      <c r="G33" s="41" t="n">
        <v>0.5</v>
      </c>
      <c r="H33" s="41" t="n">
        <v>0.5</v>
      </c>
      <c r="I33" s="44" t="n">
        <f aca="false">SUM(D33:H33)</f>
        <v>6</v>
      </c>
      <c r="J33" s="40" t="n">
        <f aca="false">INDEX($G$5:$G$18,MATCH(A33,$A$5:$A$18,0))</f>
        <v>6</v>
      </c>
      <c r="K33" s="40" t="n">
        <f aca="false">I33-J33</f>
        <v>0</v>
      </c>
      <c r="L33" s="7" t="s">
        <v>2002</v>
      </c>
    </row>
    <row r="34" customFormat="false" ht="34.5" hidden="false" customHeight="true" outlineLevel="0" collapsed="false">
      <c r="A34" s="5" t="s">
        <v>2003</v>
      </c>
      <c r="K34" s="44" t="n">
        <f aca="false">SUMPRODUCT(ABS(K24:K33))</f>
        <v>0</v>
      </c>
    </row>
    <row r="35" customFormat="false" ht="30" hidden="false" customHeight="true" outlineLevel="0" collapsed="false">
      <c r="A35" s="101" t="s">
        <v>2004</v>
      </c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</row>
  </sheetData>
  <mergeCells count="1">
    <mergeCell ref="A35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18"/>
    <col collapsed="false" customWidth="true" hidden="false" outlineLevel="0" max="5" min="5" style="1" width="24"/>
    <col collapsed="false" customWidth="true" hidden="false" outlineLevel="0" max="6" min="6" style="1" width="30"/>
    <col collapsed="false" customWidth="true" hidden="false" outlineLevel="0" max="7" min="7" style="1" width="16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" t="s">
        <v>2005</v>
      </c>
    </row>
    <row r="4" customFormat="false" ht="23.25" hidden="false" customHeight="true" outlineLevel="0" collapsed="false">
      <c r="A4" s="4" t="s">
        <v>2006</v>
      </c>
      <c r="B4" s="4" t="s">
        <v>2007</v>
      </c>
      <c r="C4" s="4" t="s">
        <v>2008</v>
      </c>
      <c r="D4" s="4" t="s">
        <v>2009</v>
      </c>
      <c r="E4" s="4" t="s">
        <v>2010</v>
      </c>
      <c r="F4" s="4" t="s">
        <v>2011</v>
      </c>
      <c r="G4" s="4" t="s">
        <v>2012</v>
      </c>
      <c r="H4" s="4" t="s">
        <v>2013</v>
      </c>
    </row>
    <row r="5" customFormat="false" ht="23.25" hidden="false" customHeight="true" outlineLevel="0" collapsed="false">
      <c r="A5" s="7" t="s">
        <v>2014</v>
      </c>
      <c r="B5" s="7" t="s">
        <v>2015</v>
      </c>
      <c r="C5" s="7" t="s">
        <v>2016</v>
      </c>
      <c r="D5" s="7" t="s">
        <v>317</v>
      </c>
      <c r="E5" s="7" t="s">
        <v>2017</v>
      </c>
      <c r="F5" s="7" t="s">
        <v>2018</v>
      </c>
      <c r="G5" s="7" t="s">
        <v>1378</v>
      </c>
      <c r="H5" s="7" t="s">
        <v>2019</v>
      </c>
    </row>
    <row r="6" customFormat="false" ht="23.25" hidden="false" customHeight="true" outlineLevel="0" collapsed="false">
      <c r="A6" s="7" t="s">
        <v>2020</v>
      </c>
      <c r="B6" s="7" t="s">
        <v>2021</v>
      </c>
      <c r="C6" s="7" t="s">
        <v>2022</v>
      </c>
      <c r="D6" s="7" t="s">
        <v>2023</v>
      </c>
      <c r="E6" s="7" t="s">
        <v>2024</v>
      </c>
      <c r="F6" s="7" t="s">
        <v>2025</v>
      </c>
      <c r="G6" s="7" t="s">
        <v>1378</v>
      </c>
      <c r="H6" s="7" t="s">
        <v>2026</v>
      </c>
    </row>
    <row r="7" customFormat="false" ht="23.25" hidden="false" customHeight="true" outlineLevel="0" collapsed="false">
      <c r="A7" s="7" t="s">
        <v>2027</v>
      </c>
      <c r="B7" s="7" t="s">
        <v>2028</v>
      </c>
      <c r="C7" s="7" t="s">
        <v>2029</v>
      </c>
      <c r="D7" s="7" t="s">
        <v>2023</v>
      </c>
      <c r="E7" s="7" t="s">
        <v>2030</v>
      </c>
      <c r="F7" s="7" t="s">
        <v>2031</v>
      </c>
      <c r="G7" s="7" t="s">
        <v>1385</v>
      </c>
      <c r="H7" s="7" t="s">
        <v>2032</v>
      </c>
    </row>
    <row r="8" customFormat="false" ht="23.25" hidden="false" customHeight="true" outlineLevel="0" collapsed="false">
      <c r="A8" s="7" t="s">
        <v>2033</v>
      </c>
      <c r="B8" s="7" t="s">
        <v>2034</v>
      </c>
      <c r="C8" s="7" t="s">
        <v>2035</v>
      </c>
      <c r="D8" s="7" t="s">
        <v>2036</v>
      </c>
      <c r="E8" s="7" t="s">
        <v>2037</v>
      </c>
      <c r="F8" s="7" t="s">
        <v>2038</v>
      </c>
      <c r="G8" s="7" t="s">
        <v>1391</v>
      </c>
      <c r="H8" s="7" t="s">
        <v>2039</v>
      </c>
    </row>
    <row r="9" customFormat="false" ht="15" hidden="false" customHeight="true" outlineLevel="0" collapsed="false">
      <c r="A9" s="7" t="s">
        <v>2040</v>
      </c>
      <c r="B9" s="7" t="s">
        <v>2041</v>
      </c>
      <c r="C9" s="7" t="s">
        <v>2042</v>
      </c>
      <c r="D9" s="7" t="s">
        <v>2036</v>
      </c>
      <c r="E9" s="7" t="s">
        <v>2043</v>
      </c>
      <c r="F9" s="7" t="s">
        <v>2044</v>
      </c>
      <c r="G9" s="7" t="s">
        <v>1385</v>
      </c>
      <c r="H9" s="7" t="s">
        <v>2045</v>
      </c>
    </row>
    <row r="10" customFormat="false" ht="23.25" hidden="false" customHeight="true" outlineLevel="0" collapsed="false">
      <c r="A10" s="7" t="s">
        <v>2046</v>
      </c>
      <c r="B10" s="7" t="s">
        <v>2047</v>
      </c>
      <c r="C10" s="7" t="s">
        <v>2048</v>
      </c>
      <c r="D10" s="7" t="s">
        <v>317</v>
      </c>
      <c r="E10" s="7" t="s">
        <v>2049</v>
      </c>
      <c r="F10" s="7" t="s">
        <v>2050</v>
      </c>
      <c r="G10" s="7" t="s">
        <v>1397</v>
      </c>
      <c r="H10" s="7" t="s">
        <v>2051</v>
      </c>
    </row>
    <row r="11" customFormat="false" ht="23.25" hidden="false" customHeight="true" outlineLevel="0" collapsed="false">
      <c r="A11" s="7" t="s">
        <v>2052</v>
      </c>
      <c r="B11" s="7" t="s">
        <v>2053</v>
      </c>
      <c r="C11" s="7" t="s">
        <v>2054</v>
      </c>
      <c r="D11" s="7" t="s">
        <v>2055</v>
      </c>
      <c r="E11" s="7" t="s">
        <v>2056</v>
      </c>
      <c r="F11" s="7" t="s">
        <v>2057</v>
      </c>
      <c r="G11" s="7" t="s">
        <v>1385</v>
      </c>
      <c r="H11" s="7" t="s">
        <v>2058</v>
      </c>
    </row>
    <row r="12" customFormat="false" ht="23.25" hidden="false" customHeight="true" outlineLevel="0" collapsed="false">
      <c r="A12" s="7" t="s">
        <v>2059</v>
      </c>
      <c r="B12" s="7" t="s">
        <v>2060</v>
      </c>
      <c r="C12" s="7" t="s">
        <v>2061</v>
      </c>
      <c r="D12" s="7" t="s">
        <v>2062</v>
      </c>
      <c r="E12" s="7" t="s">
        <v>2063</v>
      </c>
      <c r="F12" s="7" t="s">
        <v>2064</v>
      </c>
      <c r="G12" s="7" t="s">
        <v>1378</v>
      </c>
      <c r="H12" s="7" t="s">
        <v>2065</v>
      </c>
    </row>
    <row r="13" customFormat="false" ht="23.25" hidden="false" customHeight="true" outlineLevel="0" collapsed="false">
      <c r="A13" s="7" t="s">
        <v>2066</v>
      </c>
      <c r="B13" s="7" t="s">
        <v>2067</v>
      </c>
      <c r="C13" s="7" t="s">
        <v>2068</v>
      </c>
      <c r="D13" s="7" t="s">
        <v>2069</v>
      </c>
      <c r="E13" s="7" t="s">
        <v>2070</v>
      </c>
      <c r="F13" s="7" t="s">
        <v>2071</v>
      </c>
      <c r="G13" s="7" t="s">
        <v>1378</v>
      </c>
      <c r="H13" s="7" t="s">
        <v>2072</v>
      </c>
    </row>
    <row r="14" customFormat="false" ht="15" hidden="false" customHeight="true" outlineLevel="0" collapsed="false">
      <c r="A14" s="7" t="s">
        <v>2073</v>
      </c>
      <c r="B14" s="7" t="s">
        <v>2074</v>
      </c>
      <c r="C14" s="7" t="s">
        <v>2075</v>
      </c>
      <c r="D14" s="7" t="s">
        <v>2076</v>
      </c>
      <c r="E14" s="7" t="s">
        <v>2077</v>
      </c>
      <c r="F14" s="7" t="s">
        <v>2078</v>
      </c>
      <c r="G14" s="7" t="s">
        <v>1378</v>
      </c>
      <c r="H14" s="7" t="s">
        <v>2079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3" min="2" style="1" width="12"/>
    <col collapsed="false" customWidth="true" hidden="false" outlineLevel="0" max="14" min="14" style="1" width="9"/>
  </cols>
  <sheetData>
    <row r="1" customFormat="false" ht="17.25" hidden="false" customHeight="true" outlineLevel="0" collapsed="false">
      <c r="A1" s="2" t="s">
        <v>2080</v>
      </c>
    </row>
    <row r="2" customFormat="false" ht="15" hidden="false" customHeight="true" outlineLevel="0" collapsed="false">
      <c r="A2" s="3" t="s">
        <v>2081</v>
      </c>
    </row>
    <row r="4" customFormat="false" ht="34.5" hidden="false" customHeight="true" outlineLevel="0" collapsed="false">
      <c r="A4" s="4" t="s">
        <v>2082</v>
      </c>
      <c r="B4" s="4" t="s">
        <v>2083</v>
      </c>
      <c r="C4" s="4" t="s">
        <v>2084</v>
      </c>
      <c r="D4" s="4" t="s">
        <v>2085</v>
      </c>
      <c r="E4" s="4" t="s">
        <v>2086</v>
      </c>
      <c r="F4" s="4" t="s">
        <v>2087</v>
      </c>
      <c r="G4" s="4" t="s">
        <v>2088</v>
      </c>
      <c r="H4" s="4" t="s">
        <v>2089</v>
      </c>
      <c r="I4" s="4" t="s">
        <v>2090</v>
      </c>
      <c r="J4" s="4" t="s">
        <v>2091</v>
      </c>
      <c r="K4" s="4" t="s">
        <v>2092</v>
      </c>
      <c r="L4" s="4" t="s">
        <v>2093</v>
      </c>
      <c r="M4" s="4" t="s">
        <v>2094</v>
      </c>
      <c r="N4" s="4" t="s">
        <v>991</v>
      </c>
    </row>
    <row r="5" customFormat="false" ht="15" hidden="false" customHeight="true" outlineLevel="0" collapsed="false">
      <c r="A5" s="7" t="s">
        <v>2095</v>
      </c>
      <c r="B5" s="117" t="s">
        <v>2096</v>
      </c>
      <c r="C5" s="118" t="s">
        <v>2097</v>
      </c>
      <c r="D5" s="119" t="s">
        <v>2098</v>
      </c>
      <c r="E5" s="119" t="s">
        <v>2098</v>
      </c>
      <c r="F5" s="119" t="s">
        <v>2098</v>
      </c>
      <c r="G5" s="120" t="s">
        <v>2099</v>
      </c>
      <c r="H5" s="118" t="s">
        <v>2097</v>
      </c>
      <c r="I5" s="118" t="s">
        <v>2097</v>
      </c>
      <c r="J5" s="118" t="s">
        <v>2097</v>
      </c>
      <c r="K5" s="118" t="s">
        <v>2097</v>
      </c>
      <c r="L5" s="118" t="s">
        <v>2097</v>
      </c>
      <c r="M5" s="121" t="s">
        <v>117</v>
      </c>
      <c r="N5" s="71" t="str">
        <f aca="false">IF(COUNTIF(B5:M5,"A")=1,"OK","Revisar")</f>
        <v>OK</v>
      </c>
    </row>
    <row r="6" customFormat="false" ht="15" hidden="false" customHeight="true" outlineLevel="0" collapsed="false">
      <c r="A6" s="7" t="s">
        <v>2100</v>
      </c>
      <c r="B6" s="119" t="s">
        <v>2098</v>
      </c>
      <c r="C6" s="117" t="s">
        <v>2096</v>
      </c>
      <c r="D6" s="119" t="s">
        <v>2098</v>
      </c>
      <c r="E6" s="118" t="s">
        <v>2097</v>
      </c>
      <c r="F6" s="118" t="s">
        <v>2097</v>
      </c>
      <c r="G6" s="118" t="s">
        <v>2097</v>
      </c>
      <c r="H6" s="118" t="s">
        <v>2097</v>
      </c>
      <c r="I6" s="120" t="s">
        <v>2099</v>
      </c>
      <c r="J6" s="120" t="s">
        <v>2099</v>
      </c>
      <c r="K6" s="119" t="s">
        <v>2098</v>
      </c>
      <c r="L6" s="119" t="s">
        <v>2098</v>
      </c>
      <c r="M6" s="121" t="s">
        <v>117</v>
      </c>
      <c r="N6" s="71" t="str">
        <f aca="false">IF(COUNTIF(B6:M6,"A")=1,"OK","Revisar")</f>
        <v>OK</v>
      </c>
    </row>
    <row r="7" customFormat="false" ht="15" hidden="false" customHeight="true" outlineLevel="0" collapsed="false">
      <c r="A7" s="7" t="s">
        <v>2101</v>
      </c>
      <c r="B7" s="119" t="s">
        <v>2098</v>
      </c>
      <c r="C7" s="117" t="s">
        <v>2096</v>
      </c>
      <c r="D7" s="118" t="s">
        <v>2097</v>
      </c>
      <c r="E7" s="118" t="s">
        <v>2097</v>
      </c>
      <c r="F7" s="119" t="s">
        <v>2098</v>
      </c>
      <c r="G7" s="118" t="s">
        <v>2097</v>
      </c>
      <c r="H7" s="120" t="s">
        <v>2099</v>
      </c>
      <c r="I7" s="118" t="s">
        <v>2097</v>
      </c>
      <c r="J7" s="118" t="s">
        <v>2097</v>
      </c>
      <c r="K7" s="118" t="s">
        <v>2097</v>
      </c>
      <c r="L7" s="118" t="s">
        <v>2097</v>
      </c>
      <c r="M7" s="121" t="s">
        <v>117</v>
      </c>
      <c r="N7" s="71" t="str">
        <f aca="false">IF(COUNTIF(B7:M7,"A")=1,"OK","Revisar")</f>
        <v>OK</v>
      </c>
    </row>
    <row r="8" customFormat="false" ht="15" hidden="false" customHeight="true" outlineLevel="0" collapsed="false">
      <c r="A8" s="7" t="s">
        <v>2102</v>
      </c>
      <c r="B8" s="119" t="s">
        <v>2098</v>
      </c>
      <c r="C8" s="118" t="s">
        <v>2097</v>
      </c>
      <c r="D8" s="119" t="s">
        <v>2098</v>
      </c>
      <c r="E8" s="118" t="s">
        <v>2097</v>
      </c>
      <c r="F8" s="118" t="s">
        <v>2097</v>
      </c>
      <c r="G8" s="117" t="s">
        <v>2096</v>
      </c>
      <c r="H8" s="118" t="s">
        <v>2097</v>
      </c>
      <c r="I8" s="118" t="s">
        <v>2097</v>
      </c>
      <c r="J8" s="119" t="s">
        <v>2098</v>
      </c>
      <c r="K8" s="120" t="s">
        <v>2099</v>
      </c>
      <c r="L8" s="119" t="s">
        <v>2098</v>
      </c>
      <c r="M8" s="118" t="s">
        <v>2097</v>
      </c>
      <c r="N8" s="71" t="str">
        <f aca="false">IF(COUNTIF(B8:M8,"A")=1,"OK","Revisar")</f>
        <v>OK</v>
      </c>
    </row>
    <row r="9" customFormat="false" ht="15" hidden="false" customHeight="true" outlineLevel="0" collapsed="false">
      <c r="A9" s="7" t="s">
        <v>2103</v>
      </c>
      <c r="B9" s="119" t="s">
        <v>2098</v>
      </c>
      <c r="C9" s="117" t="s">
        <v>2096</v>
      </c>
      <c r="D9" s="119" t="s">
        <v>2098</v>
      </c>
      <c r="E9" s="118" t="s">
        <v>2097</v>
      </c>
      <c r="F9" s="119" t="s">
        <v>2098</v>
      </c>
      <c r="G9" s="118" t="s">
        <v>2097</v>
      </c>
      <c r="H9" s="120" t="s">
        <v>2099</v>
      </c>
      <c r="I9" s="118" t="s">
        <v>2097</v>
      </c>
      <c r="J9" s="118" t="s">
        <v>2097</v>
      </c>
      <c r="K9" s="120" t="s">
        <v>2099</v>
      </c>
      <c r="L9" s="118" t="s">
        <v>2097</v>
      </c>
      <c r="M9" s="121" t="s">
        <v>117</v>
      </c>
      <c r="N9" s="71" t="str">
        <f aca="false">IF(COUNTIF(B9:M9,"A")=1,"OK","Revisar")</f>
        <v>OK</v>
      </c>
    </row>
    <row r="10" customFormat="false" ht="15" hidden="false" customHeight="true" outlineLevel="0" collapsed="false">
      <c r="A10" s="7" t="s">
        <v>2104</v>
      </c>
      <c r="B10" s="119" t="s">
        <v>2098</v>
      </c>
      <c r="C10" s="118" t="s">
        <v>2097</v>
      </c>
      <c r="D10" s="118" t="s">
        <v>2097</v>
      </c>
      <c r="E10" s="119" t="s">
        <v>2098</v>
      </c>
      <c r="F10" s="119" t="s">
        <v>2098</v>
      </c>
      <c r="G10" s="117" t="s">
        <v>2096</v>
      </c>
      <c r="H10" s="118" t="s">
        <v>2097</v>
      </c>
      <c r="I10" s="118" t="s">
        <v>2097</v>
      </c>
      <c r="J10" s="118" t="s">
        <v>2097</v>
      </c>
      <c r="K10" s="118" t="s">
        <v>2097</v>
      </c>
      <c r="L10" s="120" t="s">
        <v>2099</v>
      </c>
      <c r="M10" s="121" t="s">
        <v>117</v>
      </c>
      <c r="N10" s="71" t="str">
        <f aca="false">IF(COUNTIF(B10:M10,"A")=1,"OK","Revisar")</f>
        <v>OK</v>
      </c>
    </row>
    <row r="11" customFormat="false" ht="15" hidden="false" customHeight="true" outlineLevel="0" collapsed="false">
      <c r="A11" s="7" t="s">
        <v>2105</v>
      </c>
      <c r="B11" s="119" t="s">
        <v>2098</v>
      </c>
      <c r="C11" s="118" t="s">
        <v>2097</v>
      </c>
      <c r="D11" s="117" t="s">
        <v>2096</v>
      </c>
      <c r="E11" s="118" t="s">
        <v>2097</v>
      </c>
      <c r="F11" s="119" t="s">
        <v>2098</v>
      </c>
      <c r="G11" s="118" t="s">
        <v>2097</v>
      </c>
      <c r="H11" s="120" t="s">
        <v>2099</v>
      </c>
      <c r="I11" s="119" t="s">
        <v>2098</v>
      </c>
      <c r="J11" s="118" t="s">
        <v>2097</v>
      </c>
      <c r="K11" s="119" t="s">
        <v>2098</v>
      </c>
      <c r="L11" s="118" t="s">
        <v>2097</v>
      </c>
      <c r="M11" s="118" t="s">
        <v>2097</v>
      </c>
      <c r="N11" s="71" t="str">
        <f aca="false">IF(COUNTIF(B11:M11,"A")=1,"OK","Revisar")</f>
        <v>OK</v>
      </c>
    </row>
    <row r="12" customFormat="false" ht="15" hidden="false" customHeight="true" outlineLevel="0" collapsed="false">
      <c r="A12" s="7" t="s">
        <v>2106</v>
      </c>
      <c r="B12" s="119" t="s">
        <v>2098</v>
      </c>
      <c r="C12" s="118" t="s">
        <v>2097</v>
      </c>
      <c r="D12" s="119" t="s">
        <v>2098</v>
      </c>
      <c r="E12" s="119" t="s">
        <v>2098</v>
      </c>
      <c r="F12" s="118" t="s">
        <v>2097</v>
      </c>
      <c r="G12" s="117" t="s">
        <v>2096</v>
      </c>
      <c r="H12" s="119" t="s">
        <v>2098</v>
      </c>
      <c r="I12" s="118" t="s">
        <v>2097</v>
      </c>
      <c r="J12" s="119" t="s">
        <v>2098</v>
      </c>
      <c r="K12" s="120" t="s">
        <v>2099</v>
      </c>
      <c r="L12" s="119" t="s">
        <v>2098</v>
      </c>
      <c r="M12" s="118" t="s">
        <v>2097</v>
      </c>
      <c r="N12" s="71" t="str">
        <f aca="false">IF(COUNTIF(B12:M12,"A")=1,"OK","Revisar")</f>
        <v>OK</v>
      </c>
    </row>
    <row r="13" customFormat="false" ht="15" hidden="false" customHeight="true" outlineLevel="0" collapsed="false">
      <c r="A13" s="7" t="s">
        <v>2107</v>
      </c>
      <c r="B13" s="119" t="s">
        <v>2098</v>
      </c>
      <c r="C13" s="119" t="s">
        <v>2098</v>
      </c>
      <c r="D13" s="118" t="s">
        <v>2097</v>
      </c>
      <c r="E13" s="119" t="s">
        <v>2098</v>
      </c>
      <c r="F13" s="118" t="s">
        <v>2097</v>
      </c>
      <c r="G13" s="117" t="s">
        <v>2096</v>
      </c>
      <c r="H13" s="118" t="s">
        <v>2097</v>
      </c>
      <c r="I13" s="118" t="s">
        <v>2097</v>
      </c>
      <c r="J13" s="119" t="s">
        <v>2098</v>
      </c>
      <c r="K13" s="120" t="s">
        <v>2099</v>
      </c>
      <c r="L13" s="120" t="s">
        <v>2099</v>
      </c>
      <c r="M13" s="120" t="s">
        <v>2099</v>
      </c>
      <c r="N13" s="71" t="str">
        <f aca="false">IF(COUNTIF(B13:M13,"A")=1,"OK","Revisar")</f>
        <v>OK</v>
      </c>
    </row>
    <row r="14" customFormat="false" ht="15" hidden="false" customHeight="true" outlineLevel="0" collapsed="false">
      <c r="A14" s="7" t="s">
        <v>2108</v>
      </c>
      <c r="B14" s="119" t="s">
        <v>2098</v>
      </c>
      <c r="C14" s="118" t="s">
        <v>2097</v>
      </c>
      <c r="D14" s="118" t="s">
        <v>2097</v>
      </c>
      <c r="E14" s="118" t="s">
        <v>2097</v>
      </c>
      <c r="F14" s="118" t="s">
        <v>2097</v>
      </c>
      <c r="G14" s="117" t="s">
        <v>2096</v>
      </c>
      <c r="H14" s="120" t="s">
        <v>2099</v>
      </c>
      <c r="I14" s="118" t="s">
        <v>2097</v>
      </c>
      <c r="J14" s="120" t="s">
        <v>2099</v>
      </c>
      <c r="K14" s="120" t="s">
        <v>2099</v>
      </c>
      <c r="L14" s="120" t="s">
        <v>2099</v>
      </c>
      <c r="M14" s="120" t="s">
        <v>2099</v>
      </c>
      <c r="N14" s="71" t="str">
        <f aca="false">IF(COUNTIF(B14:M14,"A")=1,"OK","Revisar")</f>
        <v>OK</v>
      </c>
    </row>
    <row r="15" customFormat="false" ht="15" hidden="false" customHeight="true" outlineLevel="0" collapsed="false">
      <c r="A15" s="7" t="s">
        <v>2109</v>
      </c>
      <c r="B15" s="119" t="s">
        <v>2098</v>
      </c>
      <c r="C15" s="117" t="s">
        <v>2096</v>
      </c>
      <c r="D15" s="119" t="s">
        <v>2098</v>
      </c>
      <c r="E15" s="118" t="s">
        <v>2097</v>
      </c>
      <c r="F15" s="118" t="s">
        <v>2097</v>
      </c>
      <c r="G15" s="118" t="s">
        <v>2097</v>
      </c>
      <c r="H15" s="119" t="s">
        <v>2098</v>
      </c>
      <c r="I15" s="120" t="s">
        <v>2099</v>
      </c>
      <c r="J15" s="119" t="s">
        <v>2098</v>
      </c>
      <c r="K15" s="120" t="s">
        <v>2099</v>
      </c>
      <c r="L15" s="118" t="s">
        <v>2097</v>
      </c>
      <c r="M15" s="120" t="s">
        <v>2099</v>
      </c>
      <c r="N15" s="71" t="str">
        <f aca="false">IF(COUNTIF(B15:M15,"A")=1,"OK","Revisar")</f>
        <v>OK</v>
      </c>
    </row>
    <row r="16" customFormat="false" ht="15" hidden="false" customHeight="true" outlineLevel="0" collapsed="false">
      <c r="A16" s="7" t="s">
        <v>2110</v>
      </c>
      <c r="B16" s="119" t="s">
        <v>2098</v>
      </c>
      <c r="C16" s="117" t="s">
        <v>2096</v>
      </c>
      <c r="D16" s="118" t="s">
        <v>2097</v>
      </c>
      <c r="E16" s="118" t="s">
        <v>2097</v>
      </c>
      <c r="F16" s="118" t="s">
        <v>2097</v>
      </c>
      <c r="G16" s="118" t="s">
        <v>2097</v>
      </c>
      <c r="H16" s="118" t="s">
        <v>2097</v>
      </c>
      <c r="I16" s="120" t="s">
        <v>2099</v>
      </c>
      <c r="J16" s="120" t="s">
        <v>2099</v>
      </c>
      <c r="K16" s="118" t="s">
        <v>2097</v>
      </c>
      <c r="L16" s="118" t="s">
        <v>2097</v>
      </c>
      <c r="M16" s="118" t="s">
        <v>2097</v>
      </c>
      <c r="N16" s="71" t="str">
        <f aca="false">IF(COUNTIF(B16:M16,"A")=1,"OK","Revisar")</f>
        <v>OK</v>
      </c>
    </row>
    <row r="17" customFormat="false" ht="15" hidden="false" customHeight="true" outlineLevel="0" collapsed="false">
      <c r="A17" s="7" t="s">
        <v>2111</v>
      </c>
      <c r="B17" s="119" t="s">
        <v>2098</v>
      </c>
      <c r="C17" s="117" t="s">
        <v>2096</v>
      </c>
      <c r="D17" s="118" t="s">
        <v>2097</v>
      </c>
      <c r="E17" s="118" t="s">
        <v>2097</v>
      </c>
      <c r="F17" s="118" t="s">
        <v>2097</v>
      </c>
      <c r="G17" s="118" t="s">
        <v>2097</v>
      </c>
      <c r="H17" s="118" t="s">
        <v>2097</v>
      </c>
      <c r="I17" s="120" t="s">
        <v>2099</v>
      </c>
      <c r="J17" s="118" t="s">
        <v>2097</v>
      </c>
      <c r="K17" s="118" t="s">
        <v>2097</v>
      </c>
      <c r="L17" s="120" t="s">
        <v>2099</v>
      </c>
      <c r="M17" s="121" t="s">
        <v>117</v>
      </c>
      <c r="N17" s="71" t="str">
        <f aca="false">IF(COUNTIF(B17:M17,"A")=1,"OK","Revisar")</f>
        <v>OK</v>
      </c>
    </row>
    <row r="18" customFormat="false" ht="15" hidden="false" customHeight="true" outlineLevel="0" collapsed="false">
      <c r="A18" s="7" t="s">
        <v>2112</v>
      </c>
      <c r="B18" s="117" t="s">
        <v>2096</v>
      </c>
      <c r="C18" s="118" t="s">
        <v>2097</v>
      </c>
      <c r="D18" s="119" t="s">
        <v>2098</v>
      </c>
      <c r="E18" s="119" t="s">
        <v>2098</v>
      </c>
      <c r="F18" s="119" t="s">
        <v>2098</v>
      </c>
      <c r="G18" s="120" t="s">
        <v>2099</v>
      </c>
      <c r="H18" s="118" t="s">
        <v>2097</v>
      </c>
      <c r="I18" s="119" t="s">
        <v>2098</v>
      </c>
      <c r="J18" s="119" t="s">
        <v>2098</v>
      </c>
      <c r="K18" s="119" t="s">
        <v>2098</v>
      </c>
      <c r="L18" s="119" t="s">
        <v>2098</v>
      </c>
      <c r="M18" s="121" t="s">
        <v>117</v>
      </c>
      <c r="N18" s="71" t="str">
        <f aca="false">IF(COUNTIF(B18:M18,"A")=1,"OK","Revisar")</f>
        <v>OK</v>
      </c>
    </row>
    <row r="19" customFormat="false" ht="15" hidden="false" customHeight="true" outlineLevel="0" collapsed="false">
      <c r="A19" s="7" t="s">
        <v>2113</v>
      </c>
      <c r="B19" s="117" t="s">
        <v>2096</v>
      </c>
      <c r="C19" s="118" t="s">
        <v>2097</v>
      </c>
      <c r="D19" s="119" t="s">
        <v>2098</v>
      </c>
      <c r="E19" s="119" t="s">
        <v>2098</v>
      </c>
      <c r="F19" s="119" t="s">
        <v>2098</v>
      </c>
      <c r="G19" s="120" t="s">
        <v>2099</v>
      </c>
      <c r="H19" s="119" t="s">
        <v>2098</v>
      </c>
      <c r="I19" s="119" t="s">
        <v>2098</v>
      </c>
      <c r="J19" s="119" t="s">
        <v>2098</v>
      </c>
      <c r="K19" s="119" t="s">
        <v>2098</v>
      </c>
      <c r="L19" s="119" t="s">
        <v>2098</v>
      </c>
      <c r="M19" s="121" t="s">
        <v>117</v>
      </c>
      <c r="N19" s="71" t="str">
        <f aca="false">IF(COUNTIF(B19:M19,"A")=1,"OK","Revisar")</f>
        <v>OK</v>
      </c>
    </row>
    <row r="21" customFormat="false" ht="15" hidden="false" customHeight="true" outlineLevel="0" collapsed="false">
      <c r="A21" s="5" t="s">
        <v>2114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20"/>
  </cols>
  <sheetData>
    <row r="1" customFormat="false" ht="17.25" hidden="false" customHeight="true" outlineLevel="0" collapsed="false">
      <c r="A1" s="2" t="s">
        <v>2115</v>
      </c>
    </row>
    <row r="2" customFormat="false" ht="15" hidden="false" customHeight="true" outlineLevel="0" collapsed="false">
      <c r="A2" s="3" t="s">
        <v>2116</v>
      </c>
    </row>
    <row r="4" customFormat="false" ht="15" hidden="false" customHeight="true" outlineLevel="0" collapsed="false">
      <c r="A4" s="122" t="s">
        <v>2117</v>
      </c>
      <c r="B4" s="123"/>
      <c r="C4" s="123"/>
      <c r="D4" s="123"/>
    </row>
    <row r="5" customFormat="false" ht="31.5" hidden="false" customHeight="true" outlineLevel="0" collapsed="false">
      <c r="A5" s="7" t="s">
        <v>2118</v>
      </c>
      <c r="B5" s="7"/>
      <c r="C5" s="7"/>
      <c r="D5" s="7"/>
    </row>
    <row r="6" customFormat="false" ht="15" hidden="false" customHeight="true" outlineLevel="0" collapsed="false">
      <c r="A6" s="122" t="s">
        <v>2119</v>
      </c>
      <c r="B6" s="123"/>
      <c r="C6" s="123"/>
      <c r="D6" s="123"/>
    </row>
    <row r="7" customFormat="false" ht="27.75" hidden="false" customHeight="true" outlineLevel="0" collapsed="false">
      <c r="A7" s="7" t="s">
        <v>2120</v>
      </c>
      <c r="B7" s="7"/>
      <c r="C7" s="7"/>
      <c r="D7" s="7"/>
      <c r="E7" s="76" t="s">
        <v>2121</v>
      </c>
    </row>
    <row r="8" customFormat="false" ht="27.75" hidden="false" customHeight="true" outlineLevel="0" collapsed="false">
      <c r="A8" s="7" t="s">
        <v>2122</v>
      </c>
      <c r="B8" s="7"/>
      <c r="C8" s="7"/>
      <c r="D8" s="7"/>
    </row>
    <row r="9" customFormat="false" ht="27.75" hidden="false" customHeight="true" outlineLevel="0" collapsed="false">
      <c r="A9" s="7" t="s">
        <v>2123</v>
      </c>
      <c r="B9" s="7"/>
      <c r="C9" s="7"/>
      <c r="D9" s="7"/>
    </row>
    <row r="10" customFormat="false" ht="27.75" hidden="false" customHeight="true" outlineLevel="0" collapsed="false">
      <c r="A10" s="7" t="s">
        <v>2124</v>
      </c>
      <c r="B10" s="7"/>
      <c r="C10" s="7"/>
      <c r="D10" s="7"/>
    </row>
    <row r="11" customFormat="false" ht="27.75" hidden="false" customHeight="true" outlineLevel="0" collapsed="false">
      <c r="A11" s="7" t="s">
        <v>2125</v>
      </c>
      <c r="B11" s="7"/>
      <c r="C11" s="7"/>
      <c r="D11" s="7"/>
    </row>
    <row r="12" customFormat="false" ht="27.75" hidden="false" customHeight="true" outlineLevel="0" collapsed="false">
      <c r="A12" s="7" t="s">
        <v>2126</v>
      </c>
      <c r="B12" s="7"/>
      <c r="C12" s="7"/>
      <c r="D12" s="7"/>
    </row>
    <row r="13" customFormat="false" ht="27.75" hidden="false" customHeight="true" outlineLevel="0" collapsed="false">
      <c r="A13" s="7" t="s">
        <v>2127</v>
      </c>
      <c r="B13" s="7"/>
      <c r="C13" s="7"/>
      <c r="D13" s="7"/>
    </row>
    <row r="14" customFormat="false" ht="27.75" hidden="false" customHeight="true" outlineLevel="0" collapsed="false">
      <c r="A14" s="7" t="s">
        <v>2128</v>
      </c>
      <c r="B14" s="7"/>
      <c r="C14" s="7"/>
      <c r="D14" s="7"/>
    </row>
    <row r="15" customFormat="false" ht="27.75" hidden="false" customHeight="true" outlineLevel="0" collapsed="false">
      <c r="A15" s="7" t="s">
        <v>2129</v>
      </c>
      <c r="B15" s="7"/>
      <c r="C15" s="7"/>
      <c r="D15" s="7"/>
    </row>
    <row r="16" customFormat="false" ht="15" hidden="false" customHeight="true" outlineLevel="0" collapsed="false">
      <c r="A16" s="122" t="s">
        <v>2130</v>
      </c>
      <c r="B16" s="123"/>
      <c r="C16" s="123"/>
      <c r="D16" s="123"/>
    </row>
    <row r="17" customFormat="false" ht="27.75" hidden="false" customHeight="true" outlineLevel="0" collapsed="false">
      <c r="A17" s="7" t="s">
        <v>2131</v>
      </c>
      <c r="B17" s="7"/>
      <c r="C17" s="7"/>
      <c r="D17" s="7"/>
    </row>
    <row r="18" customFormat="false" ht="27.75" hidden="false" customHeight="true" outlineLevel="0" collapsed="false">
      <c r="A18" s="7" t="s">
        <v>2132</v>
      </c>
      <c r="B18" s="7"/>
      <c r="C18" s="7"/>
      <c r="D18" s="7"/>
    </row>
    <row r="19" customFormat="false" ht="27.75" hidden="false" customHeight="true" outlineLevel="0" collapsed="false">
      <c r="A19" s="7" t="s">
        <v>2133</v>
      </c>
      <c r="B19" s="7"/>
      <c r="C19" s="7"/>
      <c r="D19" s="7"/>
    </row>
    <row r="20" customFormat="false" ht="27.75" hidden="false" customHeight="true" outlineLevel="0" collapsed="false">
      <c r="A20" s="7" t="s">
        <v>2134</v>
      </c>
      <c r="B20" s="7"/>
      <c r="C20" s="7"/>
      <c r="D20" s="7"/>
    </row>
    <row r="21" customFormat="false" ht="15" hidden="false" customHeight="true" outlineLevel="0" collapsed="false">
      <c r="A21" s="122" t="s">
        <v>2135</v>
      </c>
      <c r="B21" s="123"/>
      <c r="C21" s="123"/>
      <c r="D21" s="123"/>
    </row>
    <row r="22" customFormat="false" ht="30" hidden="false" customHeight="true" outlineLevel="0" collapsed="false">
      <c r="A22" s="7" t="s">
        <v>2136</v>
      </c>
      <c r="B22" s="7"/>
      <c r="C22" s="7"/>
      <c r="D22" s="7"/>
    </row>
    <row r="23" customFormat="false" ht="30" hidden="false" customHeight="true" outlineLevel="0" collapsed="false">
      <c r="A23" s="7" t="s">
        <v>2137</v>
      </c>
      <c r="B23" s="7"/>
      <c r="C23" s="7"/>
      <c r="D23" s="7"/>
    </row>
    <row r="24" customFormat="false" ht="30" hidden="false" customHeight="true" outlineLevel="0" collapsed="false">
      <c r="A24" s="7" t="s">
        <v>2138</v>
      </c>
      <c r="B24" s="7"/>
      <c r="C24" s="7"/>
      <c r="D24" s="7"/>
    </row>
    <row r="25" customFormat="false" ht="15" hidden="false" customHeight="true" outlineLevel="0" collapsed="false">
      <c r="A25" s="122" t="s">
        <v>2139</v>
      </c>
      <c r="B25" s="123"/>
      <c r="C25" s="123"/>
      <c r="D25" s="123"/>
    </row>
    <row r="26" customFormat="false" ht="27.75" hidden="false" customHeight="true" outlineLevel="0" collapsed="false">
      <c r="A26" s="7" t="s">
        <v>2140</v>
      </c>
      <c r="B26" s="7"/>
      <c r="C26" s="7"/>
      <c r="D26" s="7"/>
    </row>
    <row r="27" customFormat="false" ht="27.75" hidden="false" customHeight="true" outlineLevel="0" collapsed="false">
      <c r="A27" s="7" t="s">
        <v>2141</v>
      </c>
      <c r="B27" s="7"/>
      <c r="C27" s="7"/>
      <c r="D27" s="7"/>
    </row>
    <row r="28" customFormat="false" ht="27.75" hidden="false" customHeight="true" outlineLevel="0" collapsed="false">
      <c r="A28" s="7" t="s">
        <v>2142</v>
      </c>
      <c r="B28" s="7"/>
      <c r="C28" s="7"/>
      <c r="D28" s="7"/>
    </row>
    <row r="29" customFormat="false" ht="27.75" hidden="false" customHeight="true" outlineLevel="0" collapsed="false">
      <c r="A29" s="7" t="s">
        <v>2143</v>
      </c>
      <c r="B29" s="7"/>
      <c r="C29" s="7"/>
      <c r="D29" s="7"/>
    </row>
    <row r="30" customFormat="false" ht="27.75" hidden="false" customHeight="true" outlineLevel="0" collapsed="false">
      <c r="A30" s="7" t="s">
        <v>2144</v>
      </c>
      <c r="B30" s="7"/>
      <c r="C30" s="7"/>
      <c r="D30" s="7"/>
    </row>
    <row r="31" customFormat="false" ht="15" hidden="false" customHeight="true" outlineLevel="0" collapsed="false">
      <c r="A31" s="122" t="s">
        <v>2145</v>
      </c>
      <c r="B31" s="123"/>
      <c r="C31" s="123"/>
      <c r="D31" s="123"/>
    </row>
    <row r="32" customFormat="false" ht="15" hidden="false" customHeight="true" outlineLevel="0" collapsed="false">
      <c r="A32" s="5" t="s">
        <v>2146</v>
      </c>
      <c r="B32" s="63" t="n">
        <f aca="false">Precio_Kuajo!$C$19</f>
        <v>8525918727.95925</v>
      </c>
      <c r="C32" s="124" t="n">
        <f aca="false">B32/Supuestos!$B$6</f>
        <v>2604534.83223081</v>
      </c>
    </row>
    <row r="33" customFormat="false" ht="15" hidden="false" customHeight="true" outlineLevel="0" collapsed="false">
      <c r="A33" s="7" t="s">
        <v>2147</v>
      </c>
      <c r="B33" s="32" t="n">
        <f aca="false">B32*Supuestos!$B$55</f>
        <v>1619924558.31226</v>
      </c>
    </row>
    <row r="34" customFormat="false" ht="15" hidden="false" customHeight="true" outlineLevel="0" collapsed="false">
      <c r="A34" s="5" t="s">
        <v>2148</v>
      </c>
      <c r="B34" s="86" t="n">
        <f aca="false">B32+B33</f>
        <v>10145843286.2715</v>
      </c>
    </row>
    <row r="35" customFormat="false" ht="15" hidden="false" customHeight="true" outlineLevel="0" collapsed="false">
      <c r="A35" s="7" t="s">
        <v>2149</v>
      </c>
      <c r="B35" s="33" t="n">
        <f aca="false">Precio_Kuajo!$C$13</f>
        <v>6348530563.7605</v>
      </c>
      <c r="C35" s="38" t="n">
        <f aca="false">B35/B32</f>
        <v>0.744615421085544</v>
      </c>
    </row>
    <row r="36" customFormat="false" ht="15" hidden="false" customHeight="true" outlineLevel="0" collapsed="false">
      <c r="A36" s="7" t="s">
        <v>2150</v>
      </c>
      <c r="B36" s="33" t="n">
        <f aca="false">Precio_Kuajo!$C$14</f>
        <v>1524000000</v>
      </c>
      <c r="C36" s="38" t="n">
        <f aca="false">B36/B32</f>
        <v>0.178749064895764</v>
      </c>
    </row>
    <row r="37" customFormat="false" ht="15" hidden="false" customHeight="true" outlineLevel="0" collapsed="false">
      <c r="A37" s="7" t="s">
        <v>2151</v>
      </c>
      <c r="B37" s="32" t="n">
        <f aca="false">B32-B36-B35</f>
        <v>653388164.198746</v>
      </c>
      <c r="C37" s="38" t="n">
        <f aca="false">B37/B32</f>
        <v>0.0766355140186916</v>
      </c>
    </row>
    <row r="38" customFormat="false" ht="27.75" hidden="false" customHeight="true" outlineLevel="0" collapsed="false">
      <c r="A38" s="7" t="s">
        <v>2152</v>
      </c>
      <c r="B38" s="7"/>
      <c r="C38" s="7"/>
      <c r="D38" s="7"/>
    </row>
    <row r="39" customFormat="false" ht="15" hidden="false" customHeight="true" outlineLevel="0" collapsed="false">
      <c r="A39" s="122" t="s">
        <v>2153</v>
      </c>
      <c r="B39" s="123"/>
      <c r="C39" s="123"/>
      <c r="D39" s="123"/>
    </row>
    <row r="40" customFormat="false" ht="15" hidden="false" customHeight="true" outlineLevel="0" collapsed="false">
      <c r="A40" s="4" t="s">
        <v>2154</v>
      </c>
      <c r="B40" s="4" t="s">
        <v>2155</v>
      </c>
      <c r="C40" s="4" t="s">
        <v>1655</v>
      </c>
      <c r="D40" s="4" t="s">
        <v>1657</v>
      </c>
      <c r="E40" s="4" t="s">
        <v>1658</v>
      </c>
    </row>
    <row r="41" customFormat="false" ht="15" hidden="false" customHeight="true" outlineLevel="0" collapsed="false">
      <c r="A41" s="125" t="str">
        <f aca="false">Kuajo_PyG_Flujo!A5</f>
        <v>Anticipo a la firma del contrato</v>
      </c>
      <c r="B41" s="33" t="n">
        <f aca="false">Kuajo_PyG_Flujo!D5</f>
        <v>0</v>
      </c>
      <c r="C41" s="47" t="n">
        <f aca="false">Kuajo_PyG_Flujo!C5</f>
        <v>0.3</v>
      </c>
      <c r="D41" s="33" t="n">
        <f aca="false">Kuajo_PyG_Flujo!E5</f>
        <v>2557775618.38777</v>
      </c>
      <c r="E41" s="33" t="n">
        <f aca="false">Kuajo_PyG_Flujo!F5</f>
        <v>1</v>
      </c>
    </row>
    <row r="42" customFormat="false" ht="15" hidden="false" customHeight="true" outlineLevel="0" collapsed="false">
      <c r="A42" s="125" t="str">
        <f aca="false">Kuajo_PyG_Flujo!A6</f>
        <v>Aprobación de la ingeniería conceptual</v>
      </c>
      <c r="B42" s="33" t="n">
        <f aca="false">Kuajo_PyG_Flujo!D6</f>
        <v>2</v>
      </c>
      <c r="C42" s="47" t="n">
        <f aca="false">Kuajo_PyG_Flujo!C6</f>
        <v>0.15</v>
      </c>
      <c r="D42" s="33" t="n">
        <f aca="false">Kuajo_PyG_Flujo!E6</f>
        <v>1278887809.19389</v>
      </c>
      <c r="E42" s="33" t="n">
        <f aca="false">Kuajo_PyG_Flujo!F6</f>
        <v>3</v>
      </c>
    </row>
    <row r="43" customFormat="false" ht="15" hidden="false" customHeight="true" outlineLevel="0" collapsed="false">
      <c r="A43" s="125" t="str">
        <f aca="false">Kuajo_PyG_Flujo!A7</f>
        <v>Aprobación de la ingeniería de detalle y emisión de órdenes de compra</v>
      </c>
      <c r="B43" s="33" t="n">
        <f aca="false">Kuajo_PyG_Flujo!D7</f>
        <v>3</v>
      </c>
      <c r="C43" s="47" t="n">
        <f aca="false">Kuajo_PyG_Flujo!C7</f>
        <v>0.15</v>
      </c>
      <c r="D43" s="33" t="n">
        <f aca="false">Kuajo_PyG_Flujo!E7</f>
        <v>1278887809.19389</v>
      </c>
      <c r="E43" s="33" t="n">
        <f aca="false">Kuajo_PyG_Flujo!F7</f>
        <v>4</v>
      </c>
    </row>
    <row r="44" customFormat="false" ht="15" hidden="false" customHeight="true" outlineLevel="0" collapsed="false">
      <c r="A44" s="125" t="str">
        <f aca="false">Kuajo_PyG_Flujo!A8</f>
        <v>Llegada de robots y equipos a planta</v>
      </c>
      <c r="B44" s="33" t="n">
        <f aca="false">Kuajo_PyG_Flujo!D8</f>
        <v>8</v>
      </c>
      <c r="C44" s="47" t="n">
        <f aca="false">Kuajo_PyG_Flujo!C8</f>
        <v>0.2</v>
      </c>
      <c r="D44" s="33" t="n">
        <f aca="false">Kuajo_PyG_Flujo!E8</f>
        <v>1705183745.59185</v>
      </c>
      <c r="E44" s="33" t="n">
        <f aca="false">Kuajo_PyG_Flujo!F8</f>
        <v>9</v>
      </c>
    </row>
    <row r="45" customFormat="false" ht="15" hidden="false" customHeight="true" outlineLevel="0" collapsed="false">
      <c r="A45" s="125" t="str">
        <f aca="false">Kuajo_PyG_Flujo!A9</f>
        <v>Aprobación de las pruebas FAT</v>
      </c>
      <c r="B45" s="33" t="n">
        <f aca="false">Kuajo_PyG_Flujo!D9</f>
        <v>8</v>
      </c>
      <c r="C45" s="47" t="n">
        <f aca="false">Kuajo_PyG_Flujo!C9</f>
        <v>0.1</v>
      </c>
      <c r="D45" s="33" t="n">
        <f aca="false">Kuajo_PyG_Flujo!E9</f>
        <v>852591872.795925</v>
      </c>
      <c r="E45" s="33" t="n">
        <f aca="false">Kuajo_PyG_Flujo!F9</f>
        <v>9</v>
      </c>
    </row>
    <row r="46" customFormat="false" ht="15" hidden="false" customHeight="true" outlineLevel="0" collapsed="false">
      <c r="A46" s="125" t="str">
        <f aca="false">Kuajo_PyG_Flujo!A10</f>
        <v>Acta de entrega y cierre</v>
      </c>
      <c r="B46" s="33" t="n">
        <f aca="false">Kuajo_PyG_Flujo!D10</f>
        <v>12</v>
      </c>
      <c r="C46" s="47" t="n">
        <f aca="false">Kuajo_PyG_Flujo!C10</f>
        <v>0.1</v>
      </c>
      <c r="D46" s="33" t="n">
        <f aca="false">Kuajo_PyG_Flujo!E10</f>
        <v>852591872.795925</v>
      </c>
      <c r="E46" s="33" t="n">
        <f aca="false">Kuajo_PyG_Flujo!F10</f>
        <v>13</v>
      </c>
    </row>
    <row r="47" customFormat="false" ht="15" hidden="false" customHeight="true" outlineLevel="0" collapsed="false">
      <c r="A47" s="122" t="s">
        <v>2156</v>
      </c>
      <c r="B47" s="123"/>
      <c r="C47" s="123"/>
      <c r="D47" s="123"/>
    </row>
    <row r="48" customFormat="false" ht="15" hidden="false" customHeight="true" outlineLevel="0" collapsed="false">
      <c r="A48" s="5" t="s">
        <v>2157</v>
      </c>
      <c r="B48" s="33" t="n">
        <f aca="false">Cronograma!$G$44</f>
        <v>48</v>
      </c>
    </row>
    <row r="49" customFormat="false" ht="15" hidden="false" customHeight="true" outlineLevel="0" collapsed="false">
      <c r="A49" s="5" t="s">
        <v>2158</v>
      </c>
      <c r="B49" s="126" t="n">
        <f aca="false">Cronograma!$C$3+Cronograma!$G$44*7-1</f>
        <v>46733</v>
      </c>
    </row>
    <row r="50" customFormat="false" ht="15" hidden="false" customHeight="true" outlineLevel="0" collapsed="false">
      <c r="A50" s="5" t="s">
        <v>2159</v>
      </c>
      <c r="B50" s="30" t="n">
        <v>12</v>
      </c>
    </row>
    <row r="51" customFormat="false" ht="15" hidden="false" customHeight="true" outlineLevel="0" collapsed="false">
      <c r="A51" s="5" t="s">
        <v>2160</v>
      </c>
      <c r="B51" s="126" t="n">
        <f aca="false">B49+365</f>
        <v>47098</v>
      </c>
    </row>
    <row r="52" customFormat="false" ht="15" hidden="false" customHeight="true" outlineLevel="0" collapsed="false">
      <c r="A52" s="5" t="s">
        <v>2161</v>
      </c>
      <c r="B52" s="30" t="n">
        <v>15000000</v>
      </c>
    </row>
    <row r="53" customFormat="false" ht="15" hidden="false" customHeight="true" outlineLevel="0" collapsed="false">
      <c r="A53" s="5" t="s">
        <v>2162</v>
      </c>
      <c r="B53" s="30" t="n">
        <v>4</v>
      </c>
    </row>
    <row r="54" customFormat="false" ht="23.25" hidden="false" customHeight="true" outlineLevel="0" collapsed="false">
      <c r="A54" s="122" t="s">
        <v>2163</v>
      </c>
      <c r="B54" s="123"/>
      <c r="C54" s="123"/>
      <c r="D54" s="123"/>
    </row>
    <row r="55" customFormat="false" ht="23.25" hidden="false" customHeight="true" outlineLevel="0" collapsed="false">
      <c r="A55" s="4" t="s">
        <v>2164</v>
      </c>
      <c r="B55" s="4" t="s">
        <v>1474</v>
      </c>
      <c r="C55" s="4" t="s">
        <v>2165</v>
      </c>
      <c r="D55" s="4" t="s">
        <v>2166</v>
      </c>
    </row>
    <row r="56" customFormat="false" ht="15" hidden="false" customHeight="true" outlineLevel="0" collapsed="false">
      <c r="A56" s="7" t="s">
        <v>2167</v>
      </c>
      <c r="B56" s="32" t="n">
        <f aca="false">Cronograma!$N$17+Cronograma!$N$19+Cronograma!$N$20+Cronograma!$N$27+Cronograma!$N$36+Cronograma!$N$39+Cronograma!$N$25*SUMIFS(Cotizaciones!$J$5:$J$70,Cotizaciones!$B$5:$B$70,"TI/OT",Cotizaciones!$C$5:$C$70,"4.4")/Cronograma!$M$25</f>
        <v>1525941568.9844</v>
      </c>
      <c r="C56" s="32" t="n">
        <f aca="false">B56*(1-Kuajo_PyG_Flujo!$B$54/Precio_Kuajo!$C$19)</f>
        <v>1268620246.64476</v>
      </c>
      <c r="D56" s="32" t="n">
        <f aca="false">B56-C56</f>
        <v>257321322.339648</v>
      </c>
    </row>
    <row r="57" customFormat="false" ht="15" hidden="false" customHeight="true" outlineLevel="0" collapsed="false">
      <c r="A57" s="7" t="s">
        <v>2168</v>
      </c>
      <c r="B57" s="32" t="n">
        <f aca="false">B58-B56</f>
        <v>6999977158.97484</v>
      </c>
      <c r="C57" s="32" t="n">
        <f aca="false">B57*(1-Kuajo_PyG_Flujo!$B$54/Precio_Kuajo!$C$19)</f>
        <v>5819562773.84635</v>
      </c>
      <c r="D57" s="32" t="n">
        <f aca="false">B57-C57</f>
        <v>1180414385.1285</v>
      </c>
    </row>
    <row r="58" customFormat="false" ht="15" hidden="false" customHeight="true" outlineLevel="0" collapsed="false">
      <c r="A58" s="5" t="s">
        <v>2169</v>
      </c>
      <c r="B58" s="32" t="n">
        <f aca="false">B32</f>
        <v>8525918727.95925</v>
      </c>
      <c r="C58" s="32" t="n">
        <f aca="false">B58*(1-Kuajo_PyG_Flujo!$B$54/Precio_Kuajo!$C$19)</f>
        <v>7088183020.49111</v>
      </c>
      <c r="D58" s="32" t="n">
        <f aca="false">B58-C58</f>
        <v>1437735707.46814</v>
      </c>
    </row>
    <row r="59" customFormat="false" ht="15" hidden="false" customHeight="true" outlineLevel="0" collapsed="false">
      <c r="A59" s="7" t="s">
        <v>2170</v>
      </c>
      <c r="B59" s="32" t="n">
        <f aca="false">0.45*B57</f>
        <v>3149989721.53868</v>
      </c>
      <c r="C59" s="32" t="n">
        <f aca="false">B59*(1-Kuajo_PyG_Flujo!$B$54/Precio_Kuajo!$C$19)</f>
        <v>2618803248.23086</v>
      </c>
      <c r="D59" s="32" t="n">
        <f aca="false">B59-C59</f>
        <v>531186473.307823</v>
      </c>
    </row>
    <row r="60" customFormat="false" ht="15" hidden="false" customHeight="true" outlineLevel="0" collapsed="false">
      <c r="A60" s="7" t="s">
        <v>2171</v>
      </c>
      <c r="B60" s="32" t="n">
        <f aca="false">0.55*B57</f>
        <v>3849987437.43616</v>
      </c>
      <c r="C60" s="32" t="n">
        <f aca="false">B60*(1-Kuajo_PyG_Flujo!$B$54/Precio_Kuajo!$C$19)</f>
        <v>3200759525.61549</v>
      </c>
      <c r="D60" s="32" t="n">
        <f aca="false">B60-C60</f>
        <v>649227911.820672</v>
      </c>
    </row>
    <row r="61" customFormat="false" ht="15" hidden="false" customHeight="true" outlineLevel="0" collapsed="false">
      <c r="A61" s="34" t="s">
        <v>2172</v>
      </c>
      <c r="B61" s="36" t="n">
        <f aca="false">B58+B59+B60</f>
        <v>15525895886.9341</v>
      </c>
      <c r="C61" s="36" t="n">
        <f aca="false">C58+C59+C60</f>
        <v>12907745794.3375</v>
      </c>
      <c r="D61" s="36" t="n">
        <f aca="false">B61-C61</f>
        <v>2618150092.59664</v>
      </c>
    </row>
    <row r="62" customFormat="false" ht="15" hidden="false" customHeight="true" outlineLevel="0" collapsed="false">
      <c r="A62" s="101" t="s">
        <v>2173</v>
      </c>
      <c r="B62" s="101"/>
      <c r="C62" s="101"/>
      <c r="D62" s="101"/>
    </row>
    <row r="63" customFormat="false" ht="15" hidden="false" customHeight="true" outlineLevel="0" collapsed="false">
      <c r="A63" s="122" t="s">
        <v>2174</v>
      </c>
      <c r="B63" s="123"/>
      <c r="C63" s="123"/>
      <c r="D63" s="123"/>
    </row>
    <row r="64" customFormat="false" ht="15" hidden="false" customHeight="true" outlineLevel="0" collapsed="false">
      <c r="A64" s="5" t="s">
        <v>2175</v>
      </c>
      <c r="B64" s="33" t="n">
        <f aca="false">Flujo_Pomar!$B$33</f>
        <v>15013917609.8275</v>
      </c>
    </row>
    <row r="65" customFormat="false" ht="15" hidden="false" customHeight="true" outlineLevel="0" collapsed="false">
      <c r="A65" s="5" t="s">
        <v>2176</v>
      </c>
      <c r="B65" s="47" t="n">
        <f aca="false">Flujo_Pomar!$B$35</f>
        <v>0.489633110528655</v>
      </c>
    </row>
    <row r="66" customFormat="false" ht="15" hidden="false" customHeight="true" outlineLevel="0" collapsed="false">
      <c r="A66" s="5" t="s">
        <v>2177</v>
      </c>
      <c r="B66" s="46" t="n">
        <f aca="false">Flujo_Pomar!$B$36</f>
        <v>2.2332537489278</v>
      </c>
    </row>
    <row r="67" customFormat="false" ht="15" hidden="false" customHeight="true" outlineLevel="0" collapsed="false">
      <c r="A67" s="5" t="s">
        <v>2178</v>
      </c>
      <c r="B67" s="33" t="n">
        <f aca="false">Flujo_Pomar!D13</f>
        <v>9173576397.08671</v>
      </c>
    </row>
    <row r="68" customFormat="false" ht="15" hidden="false" customHeight="true" outlineLevel="0" collapsed="false">
      <c r="A68" s="5" t="s">
        <v>2179</v>
      </c>
      <c r="B68" s="47" t="n">
        <f aca="false">Sensibilidad!$M$16</f>
        <v>0.392996077306573</v>
      </c>
    </row>
    <row r="69" customFormat="false" ht="27.75" hidden="false" customHeight="true" outlineLevel="0" collapsed="false">
      <c r="A69" s="7" t="s">
        <v>2180</v>
      </c>
      <c r="B69" s="7"/>
      <c r="C69" s="7"/>
      <c r="D69" s="7"/>
    </row>
    <row r="70" customFormat="false" ht="27.75" hidden="false" customHeight="true" outlineLevel="0" collapsed="false">
      <c r="A70" s="7" t="s">
        <v>2181</v>
      </c>
      <c r="B70" s="7"/>
      <c r="C70" s="7"/>
      <c r="D70" s="7"/>
    </row>
    <row r="71" customFormat="false" ht="27.75" hidden="false" customHeight="true" outlineLevel="0" collapsed="false">
      <c r="A71" s="7" t="s">
        <v>2182</v>
      </c>
      <c r="B71" s="7"/>
      <c r="C71" s="7"/>
      <c r="D71" s="7"/>
    </row>
    <row r="72" customFormat="false" ht="27.75" hidden="false" customHeight="true" outlineLevel="0" collapsed="false">
      <c r="A72" s="7" t="s">
        <v>2183</v>
      </c>
      <c r="B72" s="7"/>
      <c r="C72" s="7"/>
      <c r="D72" s="7"/>
    </row>
  </sheetData>
  <mergeCells count="28">
    <mergeCell ref="A5:D5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7:D17"/>
    <mergeCell ref="A18:D18"/>
    <mergeCell ref="A19:D19"/>
    <mergeCell ref="A20:D20"/>
    <mergeCell ref="A22:D22"/>
    <mergeCell ref="A23:D23"/>
    <mergeCell ref="A24:D24"/>
    <mergeCell ref="A26:D26"/>
    <mergeCell ref="A27:D27"/>
    <mergeCell ref="A28:D28"/>
    <mergeCell ref="A29:D29"/>
    <mergeCell ref="A30:D30"/>
    <mergeCell ref="A38:D38"/>
    <mergeCell ref="A62:D62"/>
    <mergeCell ref="A69:D69"/>
    <mergeCell ref="A70:D70"/>
    <mergeCell ref="A71:D71"/>
    <mergeCell ref="A72:D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42"/>
    <col collapsed="false" customWidth="true" hidden="false" outlineLevel="0" max="3" min="3" style="1" width="110"/>
  </cols>
  <sheetData>
    <row r="1" customFormat="false" ht="17.25" hidden="false" customHeight="true" outlineLevel="0" collapsed="false">
      <c r="A1" s="2" t="s">
        <v>2184</v>
      </c>
    </row>
    <row r="3" customFormat="false" ht="15" hidden="false" customHeight="true" outlineLevel="0" collapsed="false">
      <c r="A3" s="4" t="s">
        <v>2185</v>
      </c>
      <c r="B3" s="4" t="s">
        <v>655</v>
      </c>
      <c r="C3" s="4" t="s">
        <v>2186</v>
      </c>
    </row>
    <row r="4" customFormat="false" ht="15" hidden="false" customHeight="true" outlineLevel="0" collapsed="false">
      <c r="A4" s="7" t="s">
        <v>2187</v>
      </c>
      <c r="B4" s="7" t="s">
        <v>2188</v>
      </c>
      <c r="C4" s="127" t="s">
        <v>2189</v>
      </c>
    </row>
    <row r="5" customFormat="false" ht="15" hidden="false" customHeight="true" outlineLevel="0" collapsed="false">
      <c r="A5" s="7" t="s">
        <v>2190</v>
      </c>
      <c r="B5" s="7" t="s">
        <v>2191</v>
      </c>
      <c r="C5" s="127" t="s">
        <v>2192</v>
      </c>
    </row>
    <row r="6" customFormat="false" ht="15" hidden="false" customHeight="true" outlineLevel="0" collapsed="false">
      <c r="A6" s="7" t="s">
        <v>2193</v>
      </c>
      <c r="B6" s="7" t="s">
        <v>2194</v>
      </c>
      <c r="C6" s="127" t="s">
        <v>2195</v>
      </c>
    </row>
    <row r="7" customFormat="false" ht="15" hidden="false" customHeight="true" outlineLevel="0" collapsed="false">
      <c r="A7" s="7" t="s">
        <v>2196</v>
      </c>
      <c r="B7" s="7" t="s">
        <v>2197</v>
      </c>
      <c r="C7" s="127" t="s">
        <v>2198</v>
      </c>
    </row>
    <row r="8" customFormat="false" ht="15" hidden="false" customHeight="true" outlineLevel="0" collapsed="false">
      <c r="A8" s="7" t="s">
        <v>2199</v>
      </c>
      <c r="B8" s="7" t="s">
        <v>2200</v>
      </c>
      <c r="C8" s="127" t="s">
        <v>2201</v>
      </c>
    </row>
    <row r="9" customFormat="false" ht="15" hidden="false" customHeight="true" outlineLevel="0" collapsed="false">
      <c r="A9" s="7" t="s">
        <v>2202</v>
      </c>
      <c r="B9" s="7" t="s">
        <v>2203</v>
      </c>
      <c r="C9" s="127" t="s">
        <v>2204</v>
      </c>
    </row>
    <row r="10" customFormat="false" ht="15" hidden="false" customHeight="true" outlineLevel="0" collapsed="false">
      <c r="A10" s="7" t="s">
        <v>2205</v>
      </c>
      <c r="B10" s="7" t="s">
        <v>1042</v>
      </c>
      <c r="C10" s="127" t="s">
        <v>2206</v>
      </c>
    </row>
    <row r="11" customFormat="false" ht="15" hidden="false" customHeight="true" outlineLevel="0" collapsed="false">
      <c r="A11" s="7" t="s">
        <v>2207</v>
      </c>
      <c r="B11" s="7" t="s">
        <v>1061</v>
      </c>
      <c r="C11" s="127" t="s">
        <v>2208</v>
      </c>
    </row>
    <row r="12" customFormat="false" ht="15" hidden="false" customHeight="true" outlineLevel="0" collapsed="false">
      <c r="A12" s="7" t="s">
        <v>2209</v>
      </c>
      <c r="B12" s="7" t="s">
        <v>2210</v>
      </c>
      <c r="C12" s="127" t="s">
        <v>2211</v>
      </c>
    </row>
    <row r="13" customFormat="false" ht="15" hidden="false" customHeight="true" outlineLevel="0" collapsed="false">
      <c r="A13" s="7" t="s">
        <v>2212</v>
      </c>
      <c r="B13" s="7" t="s">
        <v>2210</v>
      </c>
      <c r="C13" s="127" t="s">
        <v>2213</v>
      </c>
    </row>
    <row r="14" customFormat="false" ht="15" hidden="false" customHeight="true" outlineLevel="0" collapsed="false">
      <c r="A14" s="7" t="s">
        <v>2214</v>
      </c>
      <c r="B14" s="7" t="s">
        <v>2210</v>
      </c>
      <c r="C14" s="127" t="s">
        <v>2215</v>
      </c>
    </row>
    <row r="15" customFormat="false" ht="15" hidden="false" customHeight="true" outlineLevel="0" collapsed="false">
      <c r="A15" s="7" t="s">
        <v>2216</v>
      </c>
      <c r="B15" s="7" t="s">
        <v>2210</v>
      </c>
      <c r="C15" s="127" t="s">
        <v>2217</v>
      </c>
    </row>
    <row r="16" customFormat="false" ht="15" hidden="false" customHeight="true" outlineLevel="0" collapsed="false">
      <c r="A16" s="7" t="s">
        <v>2218</v>
      </c>
      <c r="B16" s="7" t="s">
        <v>2210</v>
      </c>
      <c r="C16" s="127" t="s">
        <v>2219</v>
      </c>
    </row>
    <row r="17" customFormat="false" ht="15" hidden="false" customHeight="true" outlineLevel="0" collapsed="false">
      <c r="A17" s="7" t="s">
        <v>2220</v>
      </c>
      <c r="B17" s="7" t="s">
        <v>2210</v>
      </c>
      <c r="C17" s="127" t="s">
        <v>2221</v>
      </c>
    </row>
    <row r="18" customFormat="false" ht="15" hidden="false" customHeight="true" outlineLevel="0" collapsed="false">
      <c r="A18" s="7" t="s">
        <v>2222</v>
      </c>
      <c r="B18" s="7" t="s">
        <v>2223</v>
      </c>
      <c r="C18" s="127" t="s">
        <v>2224</v>
      </c>
    </row>
    <row r="19" customFormat="false" ht="23.25" hidden="false" customHeight="true" outlineLevel="0" collapsed="false">
      <c r="A19" s="7" t="s">
        <v>2225</v>
      </c>
      <c r="B19" s="7" t="s">
        <v>2226</v>
      </c>
      <c r="C19" s="127" t="s">
        <v>2227</v>
      </c>
    </row>
    <row r="20" customFormat="false" ht="15" hidden="false" customHeight="true" outlineLevel="0" collapsed="false">
      <c r="A20" s="7" t="s">
        <v>2228</v>
      </c>
      <c r="B20" s="7" t="s">
        <v>2229</v>
      </c>
      <c r="C20" s="127" t="s">
        <v>2230</v>
      </c>
    </row>
    <row r="21" customFormat="false" ht="15" hidden="false" customHeight="true" outlineLevel="0" collapsed="false">
      <c r="A21" s="7" t="s">
        <v>2231</v>
      </c>
      <c r="B21" s="7" t="s">
        <v>2232</v>
      </c>
      <c r="C21" s="127" t="s">
        <v>2233</v>
      </c>
    </row>
    <row r="22" customFormat="false" ht="15" hidden="false" customHeight="true" outlineLevel="0" collapsed="false">
      <c r="A22" s="7" t="s">
        <v>2234</v>
      </c>
      <c r="B22" s="7" t="s">
        <v>2232</v>
      </c>
      <c r="C22" s="127" t="s">
        <v>2235</v>
      </c>
    </row>
    <row r="23" customFormat="false" ht="15" hidden="false" customHeight="true" outlineLevel="0" collapsed="false">
      <c r="A23" s="7" t="s">
        <v>2236</v>
      </c>
      <c r="B23" s="7" t="s">
        <v>2237</v>
      </c>
      <c r="C23" s="127" t="s">
        <v>2238</v>
      </c>
    </row>
    <row r="24" customFormat="false" ht="15" hidden="false" customHeight="true" outlineLevel="0" collapsed="false">
      <c r="A24" s="7" t="s">
        <v>2239</v>
      </c>
      <c r="B24" s="7" t="s">
        <v>2240</v>
      </c>
      <c r="C24" s="127" t="s">
        <v>2241</v>
      </c>
    </row>
    <row r="25" customFormat="false" ht="15" hidden="false" customHeight="true" outlineLevel="0" collapsed="false">
      <c r="A25" s="7" t="s">
        <v>2242</v>
      </c>
      <c r="B25" s="7" t="s">
        <v>2243</v>
      </c>
      <c r="C25" s="127" t="s">
        <v>2244</v>
      </c>
    </row>
    <row r="26" customFormat="false" ht="15" hidden="false" customHeight="true" outlineLevel="0" collapsed="false">
      <c r="A26" s="7" t="s">
        <v>2245</v>
      </c>
      <c r="B26" s="7" t="s">
        <v>2246</v>
      </c>
      <c r="C26" s="127" t="s">
        <v>2247</v>
      </c>
    </row>
    <row r="27" customFormat="false" ht="15" hidden="false" customHeight="true" outlineLevel="0" collapsed="false">
      <c r="A27" s="7" t="s">
        <v>2248</v>
      </c>
      <c r="B27" s="7" t="s">
        <v>2249</v>
      </c>
      <c r="C27" s="127" t="s">
        <v>2250</v>
      </c>
    </row>
    <row r="28" customFormat="false" ht="15" hidden="false" customHeight="true" outlineLevel="0" collapsed="false">
      <c r="A28" s="7" t="s">
        <v>2251</v>
      </c>
      <c r="B28" s="7" t="s">
        <v>2252</v>
      </c>
      <c r="C28" s="127" t="s">
        <v>2253</v>
      </c>
    </row>
    <row r="29" customFormat="false" ht="15" hidden="false" customHeight="true" outlineLevel="0" collapsed="false">
      <c r="A29" s="7" t="s">
        <v>2254</v>
      </c>
      <c r="B29" s="7" t="s">
        <v>2255</v>
      </c>
      <c r="C29" s="127" t="s">
        <v>2256</v>
      </c>
    </row>
    <row r="30" customFormat="false" ht="23.25" hidden="false" customHeight="true" outlineLevel="0" collapsed="false">
      <c r="A30" s="7" t="s">
        <v>2257</v>
      </c>
      <c r="B30" s="7" t="s">
        <v>2258</v>
      </c>
      <c r="C30" s="127" t="s">
        <v>2259</v>
      </c>
    </row>
    <row r="31" customFormat="false" ht="23.25" hidden="false" customHeight="true" outlineLevel="0" collapsed="false">
      <c r="A31" s="7" t="s">
        <v>2260</v>
      </c>
      <c r="B31" s="7" t="s">
        <v>2261</v>
      </c>
      <c r="C31" s="127" t="s">
        <v>2262</v>
      </c>
    </row>
    <row r="32" customFormat="false" ht="15" hidden="false" customHeight="true" outlineLevel="0" collapsed="false">
      <c r="A32" s="7" t="s">
        <v>2263</v>
      </c>
      <c r="B32" s="7" t="s">
        <v>2264</v>
      </c>
      <c r="C32" s="127" t="s">
        <v>2265</v>
      </c>
    </row>
    <row r="33" customFormat="false" ht="15" hidden="false" customHeight="true" outlineLevel="0" collapsed="false">
      <c r="A33" s="7" t="s">
        <v>2266</v>
      </c>
      <c r="B33" s="7" t="s">
        <v>2267</v>
      </c>
      <c r="C33" s="127" t="s">
        <v>2268</v>
      </c>
    </row>
    <row r="34" customFormat="false" ht="15" hidden="false" customHeight="true" outlineLevel="0" collapsed="false">
      <c r="A34" s="7" t="s">
        <v>2269</v>
      </c>
      <c r="B34" s="7" t="s">
        <v>2270</v>
      </c>
      <c r="C34" s="127" t="s">
        <v>2271</v>
      </c>
    </row>
    <row r="35" customFormat="false" ht="15" hidden="false" customHeight="true" outlineLevel="0" collapsed="false">
      <c r="A35" s="7" t="s">
        <v>2272</v>
      </c>
      <c r="B35" s="7" t="s">
        <v>2273</v>
      </c>
      <c r="C35" s="127" t="s">
        <v>2274</v>
      </c>
    </row>
    <row r="36" customFormat="false" ht="23.25" hidden="false" customHeight="true" outlineLevel="0" collapsed="false">
      <c r="A36" s="7" t="s">
        <v>2275</v>
      </c>
      <c r="B36" s="7" t="s">
        <v>2276</v>
      </c>
      <c r="C36" s="127" t="s">
        <v>2277</v>
      </c>
    </row>
    <row r="37" customFormat="false" ht="23.25" hidden="false" customHeight="true" outlineLevel="0" collapsed="false">
      <c r="A37" s="7" t="s">
        <v>2278</v>
      </c>
      <c r="B37" s="7" t="s">
        <v>2276</v>
      </c>
      <c r="C37" s="127" t="s">
        <v>2279</v>
      </c>
    </row>
    <row r="38" customFormat="false" ht="15" hidden="false" customHeight="true" outlineLevel="0" collapsed="false">
      <c r="A38" s="7" t="s">
        <v>2280</v>
      </c>
      <c r="B38" s="7" t="s">
        <v>2281</v>
      </c>
      <c r="C38" s="127" t="s">
        <v>2282</v>
      </c>
    </row>
    <row r="39" customFormat="false" ht="23.25" hidden="false" customHeight="true" outlineLevel="0" collapsed="false">
      <c r="A39" s="7" t="s">
        <v>2283</v>
      </c>
      <c r="B39" s="7" t="s">
        <v>2284</v>
      </c>
      <c r="C39" s="127" t="s">
        <v>2285</v>
      </c>
    </row>
  </sheetData>
  <hyperlinks>
    <hyperlink ref="C4" r:id="rId1" display="https://www.noticiascaracol.com/economia/precio-del-dolar-hoy-5-de-octubre-de-2026-en-colombia-asi-abrio-la-trm-este-lunes-so35"/>
    <hyperlink ref="C5" r:id="rId2" display="https://www.hklaw.com/en/insights/publications/2025/12/colombia-decreta-aumento-del-salario-minimo-y-auxilio-de-transporte"/>
    <hyperlink ref="C6" r:id="rId3" display="https://calcucolombia.co/blog/tabla-prestaciones-sociales-2026-porcentajes"/>
    <hyperlink ref="C7" r:id="rId4" display="https://co.indeed.com/career/ingeniero-de-automatizaci%C3%B3n/salaries"/>
    <hyperlink ref="C8" r:id="rId5" display="https://co.indeed.com/career/gerente-de-proyectos/salaries"/>
    <hyperlink ref="C9" r:id="rId6" display="https://co.indeed.com/career/ingeniero-en-mecatr%C3%B3nica/salaries"/>
    <hyperlink ref="C10" r:id="rId7" display="https://inductiveautomation.com/pricing/list"/>
    <hyperlink ref="C11" r:id="rId8" display="https://www.sepasoft.com/pricing-mes/"/>
    <hyperlink ref="C12" r:id="rId9" display="https://www.instrumart.com/brand-category/1465/5678/endresshauser-coriolis-mass-flow-meters"/>
    <hyperlink ref="C13" r:id="rId10" display="https://www.instrumart.com/brand-category/1465/3049/endresshauser-flow-meters"/>
    <hyperlink ref="C14" r:id="rId11" display="https://www.instrumart.com/products/47158/eh-itherm-tm411-rtd-thermometer"/>
    <hyperlink ref="C15" r:id="rId12" display="https://www.instrumart.com/products/191109/eh-micropilot-fmr43-radar-sensor"/>
    <hyperlink ref="C16" r:id="rId13" display="https://www.instrumart.com/brand-category/1465/6229/endresshauser-ph-and-orp-sensors"/>
    <hyperlink ref="C17" r:id="rId14" display="https://www.instrumart.com/products/47567/eh-liquiline-m-cm42-transmitter"/>
    <hyperlink ref="C18" r:id="rId15" display="https://www.evsrobot.com/industrial-robot-price-2026-cost-breakdown-roi-quote-guide.html"/>
    <hyperlink ref="C19" r:id="rId16" display="https://standardbots.com/blog/robotic-palletizing-cost"/>
    <hyperlink ref="C20" r:id="rId17" display="https://www.anexee.com/blog/unlimited-tag-vs-subscription-scada-pricing-2026"/>
    <hyperlink ref="C21" r:id="rId18" display="https://pages.stern.nyu.edu/~adamodar/New_Home_Page/datafile/wacc.html"/>
    <hyperlink ref="C22" r:id="rId19" display="https://pages.stern.nyu.edu/~adamodar/New_Home_Page/datafile/ctryprem.html"/>
    <hyperlink ref="C23" r:id="rId20" display="https://pages.stern.nyu.edu/~adamodar/New_Home_Page/datafile/histimpl.html"/>
    <hyperlink ref="C24" r:id="rId21" display="https://www.banrep.gov.co/en/news/board-directors/september-2026"/>
    <hyperlink ref="C25" r:id="rId22" display="https://www.agronegocios.co/mercados/boyaca-y-cundinamarca-consolidan-el-precio-de-leche-mas-alto-con-2-134-el-litro-4393823"/>
    <hyperlink ref="C26" r:id="rId23" display="https://alpina.com/yogurt-original-alpina-fresa-botella-1000-g"/>
    <hyperlink ref="C27" r:id="rId24" display="https://www.eurosupermercados.com.co/yogurt-griego-alpina-natural-1000gr-71d/p"/>
    <hyperlink ref="C28" r:id="rId25" display="https://www.las2orillas.co/el-aleman-que-se-quedo-en-colombia-y-fundo-lacteos-pomar-una-empresa-para-competirle-a-alpina/"/>
    <hyperlink ref="C29" r:id="rId26" display="https://connectamericas.com/sites/default/files/articles_files/Gu%C3%ADa%20Metodolog%C3%ADa%20PM4R.pdf"/>
    <hyperlink ref="C30" r:id="rId27" display="https://normograma.dian.gov.co/dian/compilacion/docs/decreto_0324_2024.htm"/>
    <hyperlink ref="C31" r:id="rId28" display="https://www.indexmundi.com/facts/colombia/time-to-import"/>
    <hyperlink ref="C32" r:id="rId29" display="https://icontainers.com/ship-container/cartagena"/>
    <hyperlink ref="C33" r:id="rId30" display="https://www.mundomaritimo.cl/noticias/editor/35115"/>
    <hyperlink ref="C34" r:id="rId31" display="https://www.trade.gov/country-commercial-guides/colombia-customs-regulations"/>
    <hyperlink ref="C35" r:id="rId32" display="https://www.bbva.com.co/content/dam/public-web/colombia/documents/empresas/seguros/2026/Condiciones-Polizas-endosadas-Seguro-Todo-Riesgo-Montaje.pdf"/>
    <hyperlink ref="C36" r:id="rId33" display="https://www.agronegocios.co/precios/queso-campesino/andina/cundinamarca/bogota"/>
    <hyperlink ref="C37" r:id="rId34" display="https://www.agronegocios.co/precios/queso-doble-crema/andina/cundinamarca/bogota"/>
    <hyperlink ref="C38" r:id="rId35" display="https://www.eltiempo.com/economia/finanzas-personales/cuanto-vale-un-litro-de-leche-en-colombia-no-es-lo-que-dijo-petro-679961"/>
    <hyperlink ref="C39" r:id="rId36" display="https://www.farmatodo.com.co/producto/1004695-leche-alpina-alpi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2026-10-10T21:28:48Z</dcterms:created>
  <dc:creator>openpyxl</dc:creator>
  <dc:description/>
  <dc:language>en-US</dc:language>
  <cp:lastModifiedBy/>
  <dcterms:modified xsi:type="dcterms:W3CDTF">2026-10-11T02:49:34Z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