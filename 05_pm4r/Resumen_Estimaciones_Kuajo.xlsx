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Supuestos" sheetId="2" state="visible" r:id="rId4"/>
    <sheet name="Proceso" sheetId="3" state="visible" r:id="rId5"/>
    <sheet name="Finanzas" sheetId="4" state="visible" r:id="rId6"/>
    <sheet name="Referenci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<sst xmlns="http://schemas.openxmlformats.org/spreadsheetml/2006/main" count="314" uniqueCount="278">
  <si>
    <t xml:space="preserve">Kuajo Automation · Resumen de estimaciones preliminares (línea 1 de yogures, Lácteos Pomar)</t>
  </si>
  <si>
    <t xml:space="preserve">Para qué sirve: resume, en pocas cifras, las metas de proceso y los resultados financieros que se presentan en la sustentación intermedia.</t>
  </si>
  <si>
    <t xml:space="preserve">Todas las metas futuras y las cifras financieras son ESTIMACIONES PRELIMINARES: se calcularon con los supuestos del caso académico y con precios que en su mayoría son estimaciones. Se confirmarán midiendo la línea base en la visita y en las 2 primeras semanas del proyecto, y con cotizaciones reales.</t>
  </si>
  <si>
    <t xml:space="preserve">El detalle completo (5.000 fórmulas, 23 hojas) está en el libro Planeacion_PM4R_Kuajo_Pomar.xlsx. La columna «Detalle» de cada hoja indica la hoja y la celda de ese libro donde se calcula cada cifra. El informe Informe_Kuajo_APM_2026-2_Linea1_Yogures explica cada cálculo en la sección indicada.</t>
  </si>
  <si>
    <t xml:space="preserve">Este resumen no reemplaza ni modifica el libro completo ni el informe: ambos se conservan para la entrega final.</t>
  </si>
  <si>
    <t xml:space="preserve">Cómo leerlo: Supuestos (datos de entrada) → Proceso (metas de la línea) → Finanzas (inversión y retorno) → Referencias (dónde está cada tema).</t>
  </si>
  <si>
    <t xml:space="preserve">Convención de colores: azul = dato de entrada tomado del libro completo (se puede cambiar) · negro = fórmula de este libro · fondo amarillo = supuesto clave que más mueve el resultado.</t>
  </si>
  <si>
    <t xml:space="preserve">Redondeo para presentar: en la sustentación se usan cifras redondeadas con «≈» (por ejemplo, VPN ≈ $15.000 M) porque son estimaciones.</t>
  </si>
  <si>
    <t xml:space="preserve">Supuestos clave (datos de entrada)</t>
  </si>
  <si>
    <t xml:space="preserve">Valores del caso académico. Los de la propuesta son la meta estimada de cada parámetro y su razón está en la columna E.</t>
  </si>
  <si>
    <t xml:space="preserve">Parámetro de la llenadora de vasos U-232 (el cuello de botella)</t>
  </si>
  <si>
    <t xml:space="preserve">Hoy</t>
  </si>
  <si>
    <t xml:space="preserve">Con la propuesta (estimado)</t>
  </si>
  <si>
    <t xml:space="preserve">Unidad</t>
  </si>
  <si>
    <t xml:space="preserve">Por qué cambia</t>
  </si>
  <si>
    <t xml:space="preserve">Detalle en el libro completo</t>
  </si>
  <si>
    <t xml:space="preserve">Tiempo disponible por día</t>
  </si>
  <si>
    <t xml:space="preserve">min</t>
  </si>
  <si>
    <t xml:space="preserve">2 turnos × (480 − 60 min de pausas); no cambia</t>
  </si>
  <si>
    <t xml:space="preserve">VSM_Actual, sección 3 · Supuestos</t>
  </si>
  <si>
    <t xml:space="preserve">Cambios de formato o receta por día</t>
  </si>
  <si>
    <t xml:space="preserve">cambios</t>
  </si>
  <si>
    <t xml:space="preserve">Mismo mix de recetas</t>
  </si>
  <si>
    <t xml:space="preserve">VSM_Actual!B39:C39</t>
  </si>
  <si>
    <t xml:space="preserve">Duración de cada cambio</t>
  </si>
  <si>
    <t xml:space="preserve">Recetas ISA-88 en el PLC y CIP automático (SMED)</t>
  </si>
  <si>
    <t xml:space="preserve">VSM_Actual!B40:C40</t>
  </si>
  <si>
    <t xml:space="preserve">Fallas por día</t>
  </si>
  <si>
    <t xml:space="preserve">fallas</t>
  </si>
  <si>
    <t xml:space="preserve">Mantenimiento preventivo y predictivo</t>
  </si>
  <si>
    <t xml:space="preserve">VSM_Actual!B41:C41</t>
  </si>
  <si>
    <t xml:space="preserve">Tiempo medio de reparación (MTTR)</t>
  </si>
  <si>
    <t xml:space="preserve">Repuestos críticos en sitio y diagnóstico en el SCADA</t>
  </si>
  <si>
    <t xml:space="preserve">VSM_Actual!B42:C42</t>
  </si>
  <si>
    <t xml:space="preserve">Esperas y microparadas por día</t>
  </si>
  <si>
    <t xml:space="preserve">El MES secuencia el producto hacia la llenadora</t>
  </si>
  <si>
    <t xml:space="preserve">VSM_Actual!B43:C43</t>
  </si>
  <si>
    <t xml:space="preserve">Rendimiento (velocidad real / nominal)</t>
  </si>
  <si>
    <t xml:space="preserve">fracción</t>
  </si>
  <si>
    <t xml:space="preserve">Control de peso en lazo cerrado con la pesadora dinámica</t>
  </si>
  <si>
    <t xml:space="preserve">VSM_Actual!B47:C47</t>
  </si>
  <si>
    <t xml:space="preserve">Calidad (unidades buenas / llenadas)</t>
  </si>
  <si>
    <t xml:space="preserve">Inspección automática y fermentación controlada por pH</t>
  </si>
  <si>
    <t xml:space="preserve">VSM_Actual!B48:C48</t>
  </si>
  <si>
    <t xml:space="preserve">Llenado a velocidad nominal de las unidades buenas</t>
  </si>
  <si>
    <t xml:space="preserve">h/día</t>
  </si>
  <si>
    <t xml:space="preserve">Más producción (de 43.700 a 52.400 kg/día)</t>
  </si>
  <si>
    <t xml:space="preserve">VSM_Actual!B38:C38</t>
  </si>
  <si>
    <t xml:space="preserve">Producción</t>
  </si>
  <si>
    <t xml:space="preserve">Valor</t>
  </si>
  <si>
    <t xml:space="preserve">Base</t>
  </si>
  <si>
    <t xml:space="preserve">Producción actual de la línea</t>
  </si>
  <si>
    <t xml:space="preserve">kg/día</t>
  </si>
  <si>
    <t xml:space="preserve">Supuesto del caso, calibrado con los problemas del curso (OEE de 55 %)</t>
  </si>
  <si>
    <t xml:space="preserve">Supuestos!B62 · VSM_Actual!B127</t>
  </si>
  <si>
    <t xml:space="preserve">Demanda del nuevo contrato</t>
  </si>
  <si>
    <t xml:space="preserve">+20 % que exige el contrato con las cadenas</t>
  </si>
  <si>
    <t xml:space="preserve">Supuestos!B66 · VSM_Actual!C127</t>
  </si>
  <si>
    <t xml:space="preserve">Supuestos financieros</t>
  </si>
  <si>
    <t xml:space="preserve">WACC de Pomar</t>
  </si>
  <si>
    <t xml:space="preserve">CAPM con datos de Damodaran (alimentos procesados), riesgo país y paridad de inflación</t>
  </si>
  <si>
    <t xml:space="preserve">Supuestos!B29</t>
  </si>
  <si>
    <t xml:space="preserve">Prima por primera implementación</t>
  </si>
  <si>
    <t xml:space="preserve">Riesgo tecnológico de un primer proyecto TDI</t>
  </si>
  <si>
    <t xml:space="preserve">Supuestos!B30</t>
  </si>
  <si>
    <t xml:space="preserve">Tasa de oportunidad (TIO) de Pomar</t>
  </si>
  <si>
    <t xml:space="preserve">WACC + prima (fórmula)</t>
  </si>
  <si>
    <t xml:space="preserve">Supuestos!B31</t>
  </si>
  <si>
    <t xml:space="preserve">Fracción del volumen adicional atribuida a la automatización</t>
  </si>
  <si>
    <t xml:space="preserve">Criterio conservador: la otra mitad se atribuye a la gestión comercial</t>
  </si>
  <si>
    <t xml:space="preserve">Supuestos!B67</t>
  </si>
  <si>
    <t xml:space="preserve">Captura de beneficios en el año 1</t>
  </si>
  <si>
    <t xml:space="preserve">Curva de aprendizaje del arranque</t>
  </si>
  <si>
    <t xml:space="preserve">Supuestos!B68</t>
  </si>
  <si>
    <t xml:space="preserve">Inflación esperada Colombia</t>
  </si>
  <si>
    <t xml:space="preserve">Expectativa del Banco de la República</t>
  </si>
  <si>
    <t xml:space="preserve">Supuestos!B7</t>
  </si>
  <si>
    <t xml:space="preserve">TRM de la oferta</t>
  </si>
  <si>
    <t xml:space="preserve">COP/US$</t>
  </si>
  <si>
    <t xml:space="preserve">Tasa de cambio de referencia; la oferta tiene cláusula de ajuste si varía más de 5 %</t>
  </si>
  <si>
    <t xml:space="preserve">Supuestos!B6</t>
  </si>
  <si>
    <t xml:space="preserve">Horizonte de evaluación</t>
  </si>
  <si>
    <t xml:space="preserve">años</t>
  </si>
  <si>
    <t xml:space="preserve">Vida útil esperada de la solución</t>
  </si>
  <si>
    <t xml:space="preserve">Flujo_Pomar</t>
  </si>
  <si>
    <t xml:space="preserve">Metas de proceso estimadas (cálculo preliminar)</t>
  </si>
  <si>
    <t xml:space="preserve">Las filas 5 a 10 se calculan aquí con los supuestos; las demás se toman del libro completo (azul). Los valores de hoy son supuestos del caso que se confirman en la visita.</t>
  </si>
  <si>
    <t xml:space="preserve">Indicador</t>
  </si>
  <si>
    <t xml:space="preserve">Meta estimada</t>
  </si>
  <si>
    <t xml:space="preserve">Cambio</t>
  </si>
  <si>
    <t xml:space="preserve">Cómo se calcula / por qué</t>
  </si>
  <si>
    <t xml:space="preserve">Disponibilidad de la llenadora</t>
  </si>
  <si>
    <t xml:space="preserve">(Disponible − cambios − fallas × MTTR − esperas) / disponible</t>
  </si>
  <si>
    <t xml:space="preserve">VSM_Actual!B45:C45</t>
  </si>
  <si>
    <t xml:space="preserve">OEE de la llenadora de vasos</t>
  </si>
  <si>
    <t xml:space="preserve">Disponibilidad × rendimiento × calidad</t>
  </si>
  <si>
    <t xml:space="preserve">VSM_Actual!B49:C49 · Informe, Tabla 6.5</t>
  </si>
  <si>
    <t xml:space="preserve">Horas que necesita la llenadora por día</t>
  </si>
  <si>
    <t xml:space="preserve">Llenado a velocidad nominal / OEE</t>
  </si>
  <si>
    <t xml:space="preserve">VSM_Actual!B50:C50</t>
  </si>
  <si>
    <t xml:space="preserve">Ocupación de la llenadora</t>
  </si>
  <si>
    <t xml:space="preserve">Horas necesarias / 14 h disponibles; hoy satura (cuello de botella)</t>
  </si>
  <si>
    <t xml:space="preserve">VSM_Actual!B51:C51</t>
  </si>
  <si>
    <t xml:space="preserve">OEE mínimo para cumplir la demanda</t>
  </si>
  <si>
    <t xml:space="preserve">Con un OEE de ≈ 70 % ya se cumple la demanda; la meta de ≈ 78 % deja margen</t>
  </si>
  <si>
    <t xml:space="preserve">Derivado de la Tabla 6.5 del informe</t>
  </si>
  <si>
    <t xml:space="preserve">Producción (kg/día)</t>
  </si>
  <si>
    <t xml:space="preserve">La meta es la demanda del contrato</t>
  </si>
  <si>
    <t xml:space="preserve">VSM_Actual!B127:C127</t>
  </si>
  <si>
    <t xml:space="preserve">Cumplimiento de la demanda</t>
  </si>
  <si>
    <t xml:space="preserve">Producción / demanda</t>
  </si>
  <si>
    <t xml:space="preserve">VSM_Actual!B131:C131</t>
  </si>
  <si>
    <t xml:space="preserve">Throughput (kg/h)</t>
  </si>
  <si>
    <t xml:space="preserve">Producción / 14 h disponibles</t>
  </si>
  <si>
    <t xml:space="preserve">VSM_Actual!B129:C129</t>
  </si>
  <si>
    <t xml:space="preserve">Tiempo de manufactura (MLT) de un lote de Y1 (días)</t>
  </si>
  <si>
    <t xml:space="preserve">Menos espera en el pulmón (FIFO del MES) y pH en línea</t>
  </si>
  <si>
    <t xml:space="preserve">VSM_Actual!B138:C138 · Informe 6.4</t>
  </si>
  <si>
    <t xml:space="preserve">Tiempo de cambio de receta (min)</t>
  </si>
  <si>
    <t xml:space="preserve">Recetas ISA-88 y CIP automático</t>
  </si>
  <si>
    <t xml:space="preserve">VSM_Actual!B141:C141</t>
  </si>
  <si>
    <t xml:space="preserve">Rechazo en inspección</t>
  </si>
  <si>
    <t xml:space="preserve">Inspección automática: pesadora, metales y visión</t>
  </si>
  <si>
    <t xml:space="preserve">VSM_Actual!B142:C142</t>
  </si>
  <si>
    <t xml:space="preserve">MTBF de la llenadora (h)</t>
  </si>
  <si>
    <t xml:space="preserve">VSM_Actual!B139:C139</t>
  </si>
  <si>
    <t xml:space="preserve">Utilización de los fermentadores</t>
  </si>
  <si>
    <t xml:space="preserve">Pasan a ser la restricción con la propuesta</t>
  </si>
  <si>
    <t xml:space="preserve">VSM_Actual!B137:C137</t>
  </si>
  <si>
    <t xml:space="preserve">Tiempo para rastrear un lote (h)</t>
  </si>
  <si>
    <t xml:space="preserve">Genealogía en el MES del silo al pallet</t>
  </si>
  <si>
    <t xml:space="preserve">VSM_Actual!B146:C146</t>
  </si>
  <si>
    <t xml:space="preserve">Producto vendible simulado (kg/día)</t>
  </si>
  <si>
    <t xml:space="preserve">Simulación preliminar: 10 réplicas de 13 semanas (sim.py)</t>
  </si>
  <si>
    <t xml:space="preserve">Simulacion!B19 y D19 · Informe 6.9</t>
  </si>
  <si>
    <t xml:space="preserve">Control contra el libro completo (OEE meta: debe dar ≈ 0)</t>
  </si>
  <si>
    <t xml:space="preserve">Valor del libro completo para el control: VSM_Actual!C49 = 0,7801</t>
  </si>
  <si>
    <t xml:space="preserve">Resumen financiero estimado (cálculo preliminar, millones de COP sin IVA)</t>
  </si>
  <si>
    <t xml:space="preserve">Los flujos anuales vienen del libro completo (hoja Flujo_Pomar, fila 26); aquí se recalculan VPN, TIR y recuperación con fórmulas para poder revisarlos.</t>
  </si>
  <si>
    <t xml:space="preserve">Concepto</t>
  </si>
  <si>
    <t xml:space="preserve">Valor ($M)</t>
  </si>
  <si>
    <t xml:space="preserve">Precio de la Fase 1 (sin IVA)</t>
  </si>
  <si>
    <t xml:space="preserve">Suministros con 10 % de margen + ingeniería (10.160 h) + contingencia + póliza; 73 % de los suministros aún son estimaciones</t>
  </si>
  <si>
    <t xml:space="preserve">Precio_Kuajo!C19 · Portada!B5</t>
  </si>
  <si>
    <t xml:space="preserve">Inversión total de Pomar en el año 0</t>
  </si>
  <si>
    <t xml:space="preserve">Precio + costo de la parada de 2 semanas + costo interno de Pomar</t>
  </si>
  <si>
    <t xml:space="preserve">Flujo_Pomar!B39</t>
  </si>
  <si>
    <t xml:space="preserve">Beneficios anuales en régimen (pesos de 2027)</t>
  </si>
  <si>
    <t xml:space="preserve">Margen del volumen adicional (al 50 %) + menos rechazo + mano de obra + energía + retiros acotados</t>
  </si>
  <si>
    <t xml:space="preserve">Beneficios_OPEX!B35</t>
  </si>
  <si>
    <t xml:space="preserve">OPEX anual (licencias, soporte, mantenimiento)</t>
  </si>
  <si>
    <t xml:space="preserve">Costos de operación que agrega la solución</t>
  </si>
  <si>
    <t xml:space="preserve">Beneficios_OPEX!B46</t>
  </si>
  <si>
    <t xml:space="preserve">Flujo de caja libre de Pomar ($M)</t>
  </si>
  <si>
    <t xml:space="preserve">Año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</si>
  <si>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</si>
  <si>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</si>
  <si>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</si>
  <si>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</si>
  <si>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</si>
  <si>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</si>
  <si>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</si>
  <si>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</si>
  <si>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Flujo libre (después de impuestos)</t>
  </si>
  <si>
    <t xml:space="preserve">Flujo acumulado</t>
  </si>
  <si>
    <t xml:space="preserve">Flujo descontado a la TIO</t>
  </si>
  <si>
    <t xml:space="preserve">Descontado acumulado</t>
  </si>
  <si>
    <t xml:space="preserve">Año de recuperación simple (ayuda)</t>
  </si>
  <si>
    <t xml:space="preserve">Año de recuperación descontada (ayuda)</t>
  </si>
  <si>
    <t xml:space="preserve">Fuente de la fila 12: Flujo_Pomar!B26:I26 del libro completo</t>
  </si>
  <si>
    <t xml:space="preserve">Calculado aquí</t>
  </si>
  <si>
    <t xml:space="preserve">Libro completo</t>
  </si>
  <si>
    <t xml:space="preserve">Diferencia</t>
  </si>
  <si>
    <t xml:space="preserve">Cómo leerlo</t>
  </si>
  <si>
    <t xml:space="preserve">VPN a la TIO ($M)</t>
  </si>
  <si>
    <t xml:space="preserve">Mayor que 0: el proyecto crea valor para Pomar</t>
  </si>
  <si>
    <t xml:space="preserve">TIR</t>
  </si>
  <si>
    <t xml:space="preserve">Mayor que la TIO (≈ 13,7 %): conviene</t>
  </si>
  <si>
    <t xml:space="preserve">Recuperación simple (años)</t>
  </si>
  <si>
    <t xml:space="preserve">Años hasta recuperar la inversión</t>
  </si>
  <si>
    <t xml:space="preserve">Recuperación descontada (años)</t>
  </si>
  <si>
    <t xml:space="preserve">Igual, con el valor del dinero en el tiempo</t>
  </si>
  <si>
    <t xml:space="preserve">Relación beneficio/costo</t>
  </si>
  <si>
    <t xml:space="preserve">Valor presente de los flujos / inversión neta</t>
  </si>
  <si>
    <t xml:space="preserve">Libro completo: Flujo_Pomar!B33, B35, B36, B37 y B38</t>
  </si>
  <si>
    <t xml:space="preserve">Sensibilidad resumida</t>
  </si>
  <si>
    <t xml:space="preserve">Escenario</t>
  </si>
  <si>
    <t xml:space="preserve">VPN ($M)</t>
  </si>
  <si>
    <t xml:space="preserve">¿Conviene?</t>
  </si>
  <si>
    <t xml:space="preserve">Caso base</t>
  </si>
  <si>
    <t xml:space="preserve">Sensibilidad!M5:N5</t>
  </si>
  <si>
    <t xml:space="preserve">Beneficios −30 %</t>
  </si>
  <si>
    <t xml:space="preserve">Sensibilidad!M6:N6</t>
  </si>
  <si>
    <t xml:space="preserve">Inversión +20 %</t>
  </si>
  <si>
    <t xml:space="preserve">Sensibilidad!M8:N8</t>
  </si>
  <si>
    <t xml:space="preserve">Pesimista: beneficios −30 %, inversión +20 %, OPEX +30 %</t>
  </si>
  <si>
    <t xml:space="preserve">Sensibilidad!M11:N11</t>
  </si>
  <si>
    <t xml:space="preserve">Beneficios −50 %</t>
  </si>
  <si>
    <t xml:space="preserve">Sensibilidad!M7:N7</t>
  </si>
  <si>
    <t xml:space="preserve">Sin el volumen adicional (solo eficiencia)</t>
  </si>
  <si>
    <t xml:space="preserve">Sensibilidad!M13:N13</t>
  </si>
  <si>
    <t xml:space="preserve">Punto de equilibrio: el VPN es 0 con ≈ 39 % de los beneficios estimados (Sensibilidad!M16).</t>
  </si>
  <si>
    <t xml:space="preserve">Rentabilidad para Kuajo</t>
  </si>
  <si>
    <t xml:space="preserve">Utilidad neta del proyecto ($M)</t>
  </si>
  <si>
    <t xml:space="preserve">Ingresos − suministros − nómina − gastos − contingencia − impuestos</t>
  </si>
  <si>
    <t xml:space="preserve">Kuajo_PyG_Flujo!B56</t>
  </si>
  <si>
    <t xml:space="preserve">Margen neto</t>
  </si>
  <si>
    <t xml:space="preserve">Utilidad / precio</t>
  </si>
  <si>
    <t xml:space="preserve">Kuajo_PyG_Flujo!B57</t>
  </si>
  <si>
    <t xml:space="preserve">Crédito rotativo máximo ($M)</t>
  </si>
  <si>
    <t xml:space="preserve">Cada hito se cobra a 30 días y las compras se pagan antes (mes 8)</t>
  </si>
  <si>
    <t xml:space="preserve">Kuajo_PyG_Flujo!B63</t>
  </si>
  <si>
    <t xml:space="preserve">Líneas 2 y 3 (referencia preliminar ±30 %)</t>
  </si>
  <si>
    <t xml:space="preserve">Línea</t>
  </si>
  <si>
    <t xml:space="preserve">Precio ($M)</t>
  </si>
  <si>
    <t xml:space="preserve">Línea 3 · UHT (Fase 2, 26 semanas)</t>
  </si>
  <si>
    <t xml:space="preserve">Lineas_2_3 · Informe 8.3</t>
  </si>
  <si>
    <t xml:space="preserve">Línea 2 · quesos (Fase 3, 32 semanas)</t>
  </si>
  <si>
    <t xml:space="preserve">VPN combinado de las 3 líneas, con fases escalonadas ($M)</t>
  </si>
  <si>
    <t xml:space="preserve">Lineas_2_3!B90</t>
  </si>
  <si>
    <t xml:space="preserve">Dónde está el detalle de cada tema</t>
  </si>
  <si>
    <t xml:space="preserve">Tema</t>
  </si>
  <si>
    <t xml:space="preserve">Hoja del libro completo (Planeacion_PM4R_Kuajo_Pomar.xlsx)</t>
  </si>
  <si>
    <t xml:space="preserve">Sección del informe</t>
  </si>
  <si>
    <t xml:space="preserve">Qué se encuentra</t>
  </si>
  <si>
    <t xml:space="preserve">Datos de entrada y fuentes</t>
  </si>
  <si>
    <t xml:space="preserve">Supuestos, Fuentes</t>
  </si>
  <si>
    <t xml:space="preserve">4, 13 y Fuentes</t>
  </si>
  <si>
    <t xml:space="preserve">Todos los supuestos con su fuente</t>
  </si>
  <si>
    <t xml:space="preserve">Situación actual, VSM, OEE, MLT y KPIs</t>
  </si>
  <si>
    <t xml:space="preserve">VSM_Actual</t>
  </si>
  <si>
    <t xml:space="preserve">6.1 a 6.8</t>
  </si>
  <si>
    <t xml:space="preserve">Cálculo de la línea base y de las metas</t>
  </si>
  <si>
    <t xml:space="preserve">Simulación de eventos discretos</t>
  </si>
  <si>
    <t xml:space="preserve">Simulacion (y sim.py)</t>
  </si>
  <si>
    <t xml:space="preserve">6.9</t>
  </si>
  <si>
    <t xml:space="preserve">Escenarios, 10 réplicas, resultados</t>
  </si>
  <si>
    <t xml:space="preserve">Recursos compartidos de la planta</t>
  </si>
  <si>
    <t xml:space="preserve">Recursos_compartidos</t>
  </si>
  <si>
    <t xml:space="preserve">Acopio, servicios y cámara</t>
  </si>
  <si>
    <t xml:space="preserve">Líneas 2 y 3 y planta completa</t>
  </si>
  <si>
    <t xml:space="preserve">Lineas_2_3</t>
  </si>
  <si>
    <t xml:space="preserve">8 y 9, anexo C</t>
  </si>
  <si>
    <t xml:space="preserve">Referencia ±30 %</t>
  </si>
  <si>
    <t xml:space="preserve">Instrumentos y P&amp;ID</t>
  </si>
  <si>
    <t xml:space="preserve">Instrumentos</t>
  </si>
  <si>
    <t xml:space="preserve">12</t>
  </si>
  <si>
    <t xml:space="preserve">86 tags, 53 sensores</t>
  </si>
  <si>
    <t xml:space="preserve">Presupuesto y cotizaciones</t>
  </si>
  <si>
    <t xml:space="preserve">Cotizaciones, Precio_Kuajo</t>
  </si>
  <si>
    <t xml:space="preserve">13.5</t>
  </si>
  <si>
    <t xml:space="preserve">Partidas, fuentes y estimaciones</t>
  </si>
  <si>
    <t xml:space="preserve">Cronograma, recursos y curva S</t>
  </si>
  <si>
    <t xml:space="preserve">Cronograma, Curva_S, EDT, Nomina_Kuajo</t>
  </si>
  <si>
    <t xml:space="preserve">13.1 a 13.4</t>
  </si>
  <si>
    <t xml:space="preserve">CPM, histograma, horas por persona</t>
  </si>
  <si>
    <t xml:space="preserve">Beneficios y OPEX</t>
  </si>
  <si>
    <t xml:space="preserve">Beneficios_OPEX</t>
  </si>
  <si>
    <t xml:space="preserve">13.6 y 13.7</t>
  </si>
  <si>
    <t xml:space="preserve">Beneficios anuales y costos de operación</t>
  </si>
  <si>
    <t xml:space="preserve">Flujo de caja, VPN, TIR y recuperación</t>
  </si>
  <si>
    <t xml:space="preserve">13.8 y 13.9</t>
  </si>
  <si>
    <t xml:space="preserve">Flujo a 7 años y WACC</t>
  </si>
  <si>
    <t xml:space="preserve">Sensibilidad</t>
  </si>
  <si>
    <t xml:space="preserve">13.10</t>
  </si>
  <si>
    <t xml:space="preserve">Escenarios y punto de equilibrio</t>
  </si>
  <si>
    <t xml:space="preserve">Rentabilidad de Kuajo</t>
  </si>
  <si>
    <t xml:space="preserve">Kuajo_PyG_Flujo</t>
  </si>
  <si>
    <t xml:space="preserve">13.11</t>
  </si>
  <si>
    <t xml:space="preserve">Estado de resultados y caja mensual</t>
  </si>
  <si>
    <t xml:space="preserve">Riesgos, adquisiciones, comunicaciones y RACI</t>
  </si>
  <si>
    <t xml:space="preserve">Riesgos, Adquisiciones, Comunicaciones, RACI</t>
  </si>
  <si>
    <t xml:space="preserve">13.12 a 13.15</t>
  </si>
  <si>
    <t xml:space="preserve">Matrices PM4R</t>
  </si>
  <si>
    <t xml:space="preserve">Oferta comercial</t>
  </si>
  <si>
    <t xml:space="preserve">Oferta</t>
  </si>
  <si>
    <t xml:space="preserve">14</t>
  </si>
  <si>
    <t xml:space="preserve">Precio, hitos de pago y condiciones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</si>
</sst>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0"/>
    <numFmt numFmtId="167" formatCode="0.0%"/>
    <numFmt numFmtId="168" formatCode="#,##0.00"/>
    <numFmt numFmtId="169" formatCode="0"/>
    <numFmt numFmtId="170" formatCode="\+0%;\-0%;0%"/>
    <numFmt numFmtId="171" formatCode="0.0"/>
    <numFmt numFmtId="172" formatCode="0.0000"/>
    <numFmt numFmtId="173" formatCode="#,##0;\(#,##0\);\-"/>
    <numFmt numFmtId="174" formatCode="0.00;;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E5A52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4A575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B242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5A52"/>
        <bgColor rgb="FF4A5754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754"/>
      <rgbColor rgb="FF969696"/>
      <rgbColor rgb="FF0E5A52"/>
      <rgbColor rgb="FF339966"/>
      <rgbColor rgb="FF003300"/>
      <rgbColor rgb="FF333300"/>
      <rgbColor rgb="FF993300"/>
      <rgbColor rgb="FF993366"/>
      <rgbColor rgb="FF333399"/>
      <rgbColor rgb="FF1B24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48" hidden="false" customHeight="true" outlineLevel="0" collapsed="false">
      <c r="A3" s="2" t="s">
        <v>1</v>
      </c>
    </row>
    <row r="4" customFormat="false" ht="48" hidden="false" customHeight="true" outlineLevel="0" collapsed="false">
      <c r="A4" s="2" t="s">
        <v>2</v>
      </c>
    </row>
    <row r="5" customFormat="false" ht="48" hidden="false" customHeight="true" outlineLevel="0" collapsed="false">
      <c r="A5" s="2" t="s">
        <v>3</v>
      </c>
    </row>
    <row r="6" customFormat="false" ht="48" hidden="false" customHeight="true" outlineLevel="0" collapsed="false">
      <c r="A6" s="2" t="s">
        <v>4</v>
      </c>
    </row>
    <row r="7" customFormat="false" ht="48" hidden="false" customHeight="true" outlineLevel="0" collapsed="false">
      <c r="A7" s="2" t="s">
        <v>5</v>
      </c>
    </row>
    <row r="8" customFormat="false" ht="48" hidden="false" customHeight="true" outlineLevel="0" collapsed="false">
      <c r="A8" s="2" t="s">
        <v>6</v>
      </c>
    </row>
    <row r="9" customFormat="false" ht="48" hidden="false" customHeight="true" outlineLevel="0" collapsed="false">
      <c r="A9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58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3" t="s">
        <v>9</v>
      </c>
    </row>
    <row r="4" customFormat="false" ht="39.55" hidden="false" customHeight="false" outlineLevel="0" collapsed="false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</row>
    <row r="5" customFormat="false" ht="15" hidden="false" customHeight="false" outlineLevel="0" collapsed="false">
      <c r="A5" s="5" t="s">
        <v>16</v>
      </c>
      <c r="B5" s="6" t="n">
        <v>840</v>
      </c>
      <c r="C5" s="6" t="n">
        <v>840</v>
      </c>
      <c r="D5" s="5" t="s">
        <v>17</v>
      </c>
      <c r="E5" s="2" t="s">
        <v>18</v>
      </c>
      <c r="F5" s="5" t="s">
        <v>19</v>
      </c>
    </row>
    <row r="6" customFormat="false" ht="15" hidden="false" customHeight="false" outlineLevel="0" collapsed="false">
      <c r="A6" s="5" t="s">
        <v>20</v>
      </c>
      <c r="B6" s="6" t="n">
        <v>2</v>
      </c>
      <c r="C6" s="6" t="n">
        <v>2</v>
      </c>
      <c r="D6" s="5" t="s">
        <v>21</v>
      </c>
      <c r="E6" s="2" t="s">
        <v>22</v>
      </c>
      <c r="F6" s="5" t="s">
        <v>23</v>
      </c>
    </row>
    <row r="7" customFormat="false" ht="15" hidden="false" customHeight="false" outlineLevel="0" collapsed="false">
      <c r="A7" s="5" t="s">
        <v>24</v>
      </c>
      <c r="B7" s="7" t="n">
        <v>90</v>
      </c>
      <c r="C7" s="7" t="n">
        <v>35</v>
      </c>
      <c r="D7" s="5" t="s">
        <v>17</v>
      </c>
      <c r="E7" s="2" t="s">
        <v>25</v>
      </c>
      <c r="F7" s="5" t="s">
        <v>26</v>
      </c>
    </row>
    <row r="8" customFormat="false" ht="15" hidden="false" customHeight="false" outlineLevel="0" collapsed="false">
      <c r="A8" s="5" t="s">
        <v>27</v>
      </c>
      <c r="B8" s="8" t="n">
        <v>2.2</v>
      </c>
      <c r="C8" s="8" t="n">
        <v>1.5</v>
      </c>
      <c r="D8" s="5" t="s">
        <v>28</v>
      </c>
      <c r="E8" s="2" t="s">
        <v>29</v>
      </c>
      <c r="F8" s="5" t="s">
        <v>30</v>
      </c>
    </row>
    <row r="9" customFormat="false" ht="15" hidden="false" customHeight="false" outlineLevel="0" collapsed="false">
      <c r="A9" s="5" t="s">
        <v>31</v>
      </c>
      <c r="B9" s="6" t="n">
        <v>25</v>
      </c>
      <c r="C9" s="6" t="n">
        <v>20</v>
      </c>
      <c r="D9" s="5" t="s">
        <v>17</v>
      </c>
      <c r="E9" s="2" t="s">
        <v>32</v>
      </c>
      <c r="F9" s="5" t="s">
        <v>33</v>
      </c>
    </row>
    <row r="10" customFormat="false" ht="15" hidden="false" customHeight="false" outlineLevel="0" collapsed="false">
      <c r="A10" s="5" t="s">
        <v>34</v>
      </c>
      <c r="B10" s="7" t="n">
        <v>30</v>
      </c>
      <c r="C10" s="7" t="n">
        <v>15</v>
      </c>
      <c r="D10" s="5" t="s">
        <v>17</v>
      </c>
      <c r="E10" s="2" t="s">
        <v>35</v>
      </c>
      <c r="F10" s="5" t="s">
        <v>36</v>
      </c>
    </row>
    <row r="11" customFormat="false" ht="15" hidden="false" customHeight="false" outlineLevel="0" collapsed="false">
      <c r="A11" s="5" t="s">
        <v>37</v>
      </c>
      <c r="B11" s="9" t="n">
        <v>0.835</v>
      </c>
      <c r="C11" s="9" t="n">
        <v>0.913</v>
      </c>
      <c r="D11" s="5" t="s">
        <v>38</v>
      </c>
      <c r="E11" s="2" t="s">
        <v>39</v>
      </c>
      <c r="F11" s="5" t="s">
        <v>40</v>
      </c>
    </row>
    <row r="12" customFormat="false" ht="15" hidden="false" customHeight="false" outlineLevel="0" collapsed="false">
      <c r="A12" s="5" t="s">
        <v>41</v>
      </c>
      <c r="B12" s="10" t="n">
        <v>0.97</v>
      </c>
      <c r="C12" s="10" t="n">
        <v>0.99</v>
      </c>
      <c r="D12" s="5" t="s">
        <v>38</v>
      </c>
      <c r="E12" s="2" t="s">
        <v>42</v>
      </c>
      <c r="F12" s="5" t="s">
        <v>43</v>
      </c>
    </row>
    <row r="13" customFormat="false" ht="15" hidden="false" customHeight="false" outlineLevel="0" collapsed="false">
      <c r="A13" s="5" t="s">
        <v>44</v>
      </c>
      <c r="B13" s="8" t="n">
        <v>7.75</v>
      </c>
      <c r="C13" s="8" t="n">
        <v>9.7222</v>
      </c>
      <c r="D13" s="5" t="s">
        <v>45</v>
      </c>
      <c r="E13" s="2" t="s">
        <v>46</v>
      </c>
      <c r="F13" s="5" t="s">
        <v>47</v>
      </c>
    </row>
    <row r="15" customFormat="false" ht="15" hidden="false" customHeight="false" outlineLevel="0" collapsed="false">
      <c r="A15" s="4" t="s">
        <v>48</v>
      </c>
      <c r="B15" s="4" t="s">
        <v>49</v>
      </c>
      <c r="C15" s="4"/>
      <c r="D15" s="4" t="s">
        <v>13</v>
      </c>
      <c r="E15" s="4" t="s">
        <v>50</v>
      </c>
      <c r="F15" s="4" t="s">
        <v>15</v>
      </c>
    </row>
    <row r="16" customFormat="false" ht="23.85" hidden="false" customHeight="false" outlineLevel="0" collapsed="false">
      <c r="A16" s="5" t="s">
        <v>51</v>
      </c>
      <c r="B16" s="6" t="n">
        <v>43700</v>
      </c>
      <c r="D16" s="5" t="s">
        <v>52</v>
      </c>
      <c r="E16" s="2" t="s">
        <v>53</v>
      </c>
      <c r="F16" s="5" t="s">
        <v>54</v>
      </c>
    </row>
    <row r="17" customFormat="false" ht="15" hidden="false" customHeight="false" outlineLevel="0" collapsed="false">
      <c r="A17" s="5" t="s">
        <v>55</v>
      </c>
      <c r="B17" s="6" t="n">
        <v>52400</v>
      </c>
      <c r="D17" s="5" t="s">
        <v>52</v>
      </c>
      <c r="E17" s="2" t="s">
        <v>56</v>
      </c>
      <c r="F17" s="5" t="s">
        <v>57</v>
      </c>
    </row>
    <row r="19" customFormat="false" ht="15" hidden="false" customHeight="false" outlineLevel="0" collapsed="false">
      <c r="A19" s="4" t="s">
        <v>58</v>
      </c>
      <c r="B19" s="4" t="s">
        <v>49</v>
      </c>
      <c r="C19" s="4"/>
      <c r="D19" s="4" t="s">
        <v>13</v>
      </c>
      <c r="E19" s="4" t="s">
        <v>50</v>
      </c>
      <c r="F19" s="4" t="s">
        <v>15</v>
      </c>
    </row>
    <row r="20" customFormat="false" ht="23.85" hidden="false" customHeight="false" outlineLevel="0" collapsed="false">
      <c r="A20" s="5" t="s">
        <v>59</v>
      </c>
      <c r="B20" s="10" t="n">
        <v>0.10231</v>
      </c>
      <c r="D20" s="5" t="s">
        <v>38</v>
      </c>
      <c r="E20" s="2" t="s">
        <v>60</v>
      </c>
      <c r="F20" s="5" t="s">
        <v>61</v>
      </c>
    </row>
    <row r="21" customFormat="false" ht="15" hidden="false" customHeight="false" outlineLevel="0" collapsed="false">
      <c r="A21" s="5" t="s">
        <v>62</v>
      </c>
      <c r="B21" s="10" t="n">
        <v>0.035</v>
      </c>
      <c r="D21" s="5" t="s">
        <v>38</v>
      </c>
      <c r="E21" s="2" t="s">
        <v>63</v>
      </c>
      <c r="F21" s="5" t="s">
        <v>64</v>
      </c>
    </row>
    <row r="22" customFormat="false" ht="15" hidden="false" customHeight="false" outlineLevel="0" collapsed="false">
      <c r="A22" s="5" t="s">
        <v>65</v>
      </c>
      <c r="B22" s="11" t="n">
        <f aca="false">B20+B21</f>
        <v>0.13731</v>
      </c>
      <c r="D22" s="5" t="s">
        <v>38</v>
      </c>
      <c r="E22" s="2" t="s">
        <v>66</v>
      </c>
      <c r="F22" s="5" t="s">
        <v>67</v>
      </c>
    </row>
    <row r="23" customFormat="false" ht="15" hidden="false" customHeight="false" outlineLevel="0" collapsed="false">
      <c r="A23" s="5" t="s">
        <v>68</v>
      </c>
      <c r="B23" s="9" t="n">
        <v>0.5</v>
      </c>
      <c r="D23" s="5" t="s">
        <v>38</v>
      </c>
      <c r="E23" s="2" t="s">
        <v>69</v>
      </c>
      <c r="F23" s="5" t="s">
        <v>70</v>
      </c>
    </row>
    <row r="24" customFormat="false" ht="15" hidden="false" customHeight="false" outlineLevel="0" collapsed="false">
      <c r="A24" s="5" t="s">
        <v>71</v>
      </c>
      <c r="B24" s="10" t="n">
        <v>0.6</v>
      </c>
      <c r="D24" s="5" t="s">
        <v>38</v>
      </c>
      <c r="E24" s="2" t="s">
        <v>72</v>
      </c>
      <c r="F24" s="5" t="s">
        <v>73</v>
      </c>
    </row>
    <row r="25" customFormat="false" ht="15" hidden="false" customHeight="false" outlineLevel="0" collapsed="false">
      <c r="A25" s="5" t="s">
        <v>74</v>
      </c>
      <c r="B25" s="10" t="n">
        <v>0.04</v>
      </c>
      <c r="D25" s="5" t="s">
        <v>38</v>
      </c>
      <c r="E25" s="2" t="s">
        <v>75</v>
      </c>
      <c r="F25" s="5" t="s">
        <v>76</v>
      </c>
    </row>
    <row r="26" customFormat="false" ht="23.85" hidden="false" customHeight="false" outlineLevel="0" collapsed="false">
      <c r="A26" s="5" t="s">
        <v>77</v>
      </c>
      <c r="B26" s="12" t="n">
        <v>3273.49</v>
      </c>
      <c r="D26" s="5" t="s">
        <v>78</v>
      </c>
      <c r="E26" s="2" t="s">
        <v>79</v>
      </c>
      <c r="F26" s="5" t="s">
        <v>80</v>
      </c>
    </row>
    <row r="27" customFormat="false" ht="15" hidden="false" customHeight="false" outlineLevel="0" collapsed="false">
      <c r="A27" s="5" t="s">
        <v>81</v>
      </c>
      <c r="B27" s="13" t="n">
        <v>7</v>
      </c>
      <c r="D27" s="5" t="s">
        <v>82</v>
      </c>
      <c r="E27" s="2" t="s">
        <v>83</v>
      </c>
      <c r="F27" s="5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62"/>
    <col collapsed="false" customWidth="true" hidden="false" outlineLevel="0" max="6" min="6" style="0" width="36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3" t="s">
        <v>86</v>
      </c>
    </row>
    <row r="4" customFormat="false" ht="15" hidden="false" customHeight="false" outlineLevel="0" collapsed="false">
      <c r="A4" s="4" t="s">
        <v>87</v>
      </c>
      <c r="B4" s="4" t="s">
        <v>11</v>
      </c>
      <c r="C4" s="4" t="s">
        <v>88</v>
      </c>
      <c r="D4" s="4" t="s">
        <v>89</v>
      </c>
      <c r="E4" s="4" t="s">
        <v>90</v>
      </c>
      <c r="F4" s="4" t="s">
        <v>15</v>
      </c>
    </row>
    <row r="5" customFormat="false" ht="15" hidden="false" customHeight="false" outlineLevel="0" collapsed="false">
      <c r="A5" s="5" t="s">
        <v>91</v>
      </c>
      <c r="B5" s="14" t="n">
        <f aca="false">(Supuestos!B5-Supuestos!B6*Supuestos!B7-(Supuestos!B8*Supuestos!B9+Supuestos!B10))/Supuestos!B5</f>
        <v>0.68452380952381</v>
      </c>
      <c r="C5" s="14" t="n">
        <f aca="false">(Supuestos!C5-Supuestos!C6*Supuestos!C7-(Supuestos!C8*Supuestos!C9+Supuestos!C10))/Supuestos!C5</f>
        <v>0.863095238095238</v>
      </c>
      <c r="D5" s="15" t="n">
        <f aca="false">IF(B5=0,"",C5/B5-1)</f>
        <v>0.260869565217391</v>
      </c>
      <c r="E5" s="2" t="s">
        <v>92</v>
      </c>
      <c r="F5" s="5" t="s">
        <v>93</v>
      </c>
    </row>
    <row r="6" customFormat="false" ht="15" hidden="false" customHeight="false" outlineLevel="0" collapsed="false">
      <c r="A6" s="5" t="s">
        <v>94</v>
      </c>
      <c r="B6" s="14" t="n">
        <f aca="false">B5*Supuestos!B11*Supuestos!B12</f>
        <v>0.55443005952381</v>
      </c>
      <c r="C6" s="11" t="n">
        <f aca="false">C5*Supuestos!C11*Supuestos!C12</f>
        <v>0.780125892857143</v>
      </c>
      <c r="D6" s="15" t="n">
        <f aca="false">IF(B6=0,"",C6/B6-1)</f>
        <v>0.407077194781213</v>
      </c>
      <c r="E6" s="2" t="s">
        <v>95</v>
      </c>
      <c r="F6" s="5" t="s">
        <v>96</v>
      </c>
    </row>
    <row r="7" customFormat="false" ht="15" hidden="false" customHeight="false" outlineLevel="0" collapsed="false">
      <c r="A7" s="5" t="s">
        <v>97</v>
      </c>
      <c r="B7" s="16" t="n">
        <f aca="false">Supuestos!B13/B6</f>
        <v>13.9783185757575</v>
      </c>
      <c r="C7" s="16" t="n">
        <f aca="false">Supuestos!C13/C6</f>
        <v>12.4623475377715</v>
      </c>
      <c r="D7" s="15" t="n">
        <f aca="false">IF(B7=0,"",C7/B7-1)</f>
        <v>-0.10845160165509</v>
      </c>
      <c r="E7" s="2" t="s">
        <v>98</v>
      </c>
      <c r="F7" s="5" t="s">
        <v>99</v>
      </c>
    </row>
    <row r="8" customFormat="false" ht="15" hidden="false" customHeight="false" outlineLevel="0" collapsed="false">
      <c r="A8" s="5" t="s">
        <v>100</v>
      </c>
      <c r="B8" s="14" t="n">
        <f aca="false">B7/(Supuestos!B5/60)</f>
        <v>0.998451326839821</v>
      </c>
      <c r="C8" s="14" t="n">
        <f aca="false">C7/(Supuestos!C5/60)</f>
        <v>0.890167681269392</v>
      </c>
      <c r="D8" s="15" t="n">
        <f aca="false">IF(B8=0,"",C8/B8-1)</f>
        <v>-0.108451601655091</v>
      </c>
      <c r="E8" s="2" t="s">
        <v>101</v>
      </c>
      <c r="F8" s="5" t="s">
        <v>102</v>
      </c>
    </row>
    <row r="9" customFormat="false" ht="23.85" hidden="false" customHeight="false" outlineLevel="0" collapsed="false">
      <c r="A9" s="5" t="s">
        <v>103</v>
      </c>
      <c r="C9" s="11" t="n">
        <f aca="false">Supuestos!C13/(Supuestos!C5/60)</f>
        <v>0.694442857142857</v>
      </c>
      <c r="E9" s="2" t="s">
        <v>104</v>
      </c>
      <c r="F9" s="5" t="s">
        <v>105</v>
      </c>
    </row>
    <row r="10" customFormat="false" ht="15" hidden="false" customHeight="false" outlineLevel="0" collapsed="false">
      <c r="A10" s="5" t="s">
        <v>106</v>
      </c>
      <c r="B10" s="17" t="n">
        <f aca="false">Supuestos!B16</f>
        <v>43700</v>
      </c>
      <c r="C10" s="17" t="n">
        <f aca="false">Supuestos!B17</f>
        <v>52400</v>
      </c>
      <c r="D10" s="15" t="n">
        <f aca="false">IF(B10=0,"",C10/B10-1)</f>
        <v>0.19908466819222</v>
      </c>
      <c r="E10" s="2" t="s">
        <v>107</v>
      </c>
      <c r="F10" s="5" t="s">
        <v>108</v>
      </c>
    </row>
    <row r="11" customFormat="false" ht="15" hidden="false" customHeight="false" outlineLevel="0" collapsed="false">
      <c r="A11" s="5" t="s">
        <v>109</v>
      </c>
      <c r="B11" s="14" t="n">
        <f aca="false">B10/Supuestos!B17</f>
        <v>0.833969465648855</v>
      </c>
      <c r="C11" s="14" t="n">
        <f aca="false">C10/Supuestos!B17</f>
        <v>1</v>
      </c>
      <c r="D11" s="15" t="n">
        <f aca="false">IF(B11=0,"",C11/B11-1)</f>
        <v>0.19908466819222</v>
      </c>
      <c r="E11" s="2" t="s">
        <v>110</v>
      </c>
      <c r="F11" s="5" t="s">
        <v>111</v>
      </c>
    </row>
    <row r="12" customFormat="false" ht="15" hidden="false" customHeight="false" outlineLevel="0" collapsed="false">
      <c r="A12" s="5" t="s">
        <v>112</v>
      </c>
      <c r="B12" s="17" t="n">
        <f aca="false">B10/(Supuestos!B5/60)</f>
        <v>3121.42857142857</v>
      </c>
      <c r="C12" s="17" t="n">
        <f aca="false">C10/(Supuestos!C5/60)</f>
        <v>3742.85714285714</v>
      </c>
      <c r="D12" s="15" t="n">
        <f aca="false">IF(B12=0,"",C12/B12-1)</f>
        <v>0.19908466819222</v>
      </c>
      <c r="E12" s="2" t="s">
        <v>113</v>
      </c>
      <c r="F12" s="5" t="s">
        <v>114</v>
      </c>
    </row>
    <row r="13" customFormat="false" ht="15" hidden="false" customHeight="false" outlineLevel="0" collapsed="false">
      <c r="A13" s="5" t="s">
        <v>115</v>
      </c>
      <c r="B13" s="18" t="n">
        <v>4.17</v>
      </c>
      <c r="C13" s="18" t="n">
        <v>3.02</v>
      </c>
      <c r="D13" s="15" t="n">
        <f aca="false">IF(B13=0,"",C13/B13-1)</f>
        <v>-0.275779376498801</v>
      </c>
      <c r="E13" s="2" t="s">
        <v>116</v>
      </c>
      <c r="F13" s="5" t="s">
        <v>117</v>
      </c>
    </row>
    <row r="14" customFormat="false" ht="15" hidden="false" customHeight="false" outlineLevel="0" collapsed="false">
      <c r="A14" s="5" t="s">
        <v>118</v>
      </c>
      <c r="B14" s="19" t="n">
        <f aca="false">Supuestos!B7</f>
        <v>90</v>
      </c>
      <c r="C14" s="19" t="n">
        <f aca="false">Supuestos!C7</f>
        <v>35</v>
      </c>
      <c r="D14" s="15" t="n">
        <f aca="false">IF(B14=0,"",C14/B14-1)</f>
        <v>-0.611111111111111</v>
      </c>
      <c r="E14" s="2" t="s">
        <v>119</v>
      </c>
      <c r="F14" s="5" t="s">
        <v>120</v>
      </c>
    </row>
    <row r="15" customFormat="false" ht="15" hidden="false" customHeight="false" outlineLevel="0" collapsed="false">
      <c r="A15" s="5" t="s">
        <v>121</v>
      </c>
      <c r="B15" s="14" t="n">
        <f aca="false">1-Supuestos!B12</f>
        <v>0.03</v>
      </c>
      <c r="C15" s="14" t="n">
        <f aca="false">1-Supuestos!C12</f>
        <v>0.01</v>
      </c>
      <c r="D15" s="15" t="n">
        <f aca="false">IF(B15=0,"",C15/B15-1)</f>
        <v>-0.666666666666667</v>
      </c>
      <c r="E15" s="2" t="s">
        <v>122</v>
      </c>
      <c r="F15" s="5" t="s">
        <v>123</v>
      </c>
    </row>
    <row r="16" customFormat="false" ht="15" hidden="false" customHeight="false" outlineLevel="0" collapsed="false">
      <c r="A16" s="5" t="s">
        <v>124</v>
      </c>
      <c r="B16" s="18" t="n">
        <v>4.36</v>
      </c>
      <c r="C16" s="18" t="n">
        <v>8.06</v>
      </c>
      <c r="D16" s="15" t="n">
        <f aca="false">IF(B16=0,"",C16/B16-1)</f>
        <v>0.848623853211009</v>
      </c>
      <c r="E16" s="2" t="s">
        <v>29</v>
      </c>
      <c r="F16" s="5" t="s">
        <v>125</v>
      </c>
    </row>
    <row r="17" customFormat="false" ht="15" hidden="false" customHeight="false" outlineLevel="0" collapsed="false">
      <c r="A17" s="5" t="s">
        <v>126</v>
      </c>
      <c r="B17" s="10" t="n">
        <v>0.76</v>
      </c>
      <c r="C17" s="10" t="n">
        <v>0.888</v>
      </c>
      <c r="D17" s="15" t="n">
        <f aca="false">IF(B17=0,"",C17/B17-1)</f>
        <v>0.168421052631579</v>
      </c>
      <c r="E17" s="2" t="s">
        <v>127</v>
      </c>
      <c r="F17" s="5" t="s">
        <v>128</v>
      </c>
    </row>
    <row r="18" customFormat="false" ht="15" hidden="false" customHeight="false" outlineLevel="0" collapsed="false">
      <c r="A18" s="5" t="s">
        <v>129</v>
      </c>
      <c r="B18" s="18" t="n">
        <v>6</v>
      </c>
      <c r="C18" s="18" t="n">
        <v>0.5</v>
      </c>
      <c r="D18" s="15" t="n">
        <f aca="false">IF(B18=0,"",C18/B18-1)</f>
        <v>-0.916666666666667</v>
      </c>
      <c r="E18" s="2" t="s">
        <v>130</v>
      </c>
      <c r="F18" s="5" t="s">
        <v>131</v>
      </c>
    </row>
    <row r="19" customFormat="false" ht="15" hidden="false" customHeight="false" outlineLevel="0" collapsed="false">
      <c r="A19" s="5" t="s">
        <v>132</v>
      </c>
      <c r="B19" s="6" t="n">
        <v>41186</v>
      </c>
      <c r="C19" s="6" t="n">
        <v>50874</v>
      </c>
      <c r="D19" s="15" t="n">
        <f aca="false">IF(B19=0,"",C19/B19-1)</f>
        <v>0.235225562084203</v>
      </c>
      <c r="E19" s="2" t="s">
        <v>133</v>
      </c>
      <c r="F19" s="5" t="s">
        <v>134</v>
      </c>
    </row>
    <row r="21" customFormat="false" ht="15" hidden="false" customHeight="false" outlineLevel="0" collapsed="false">
      <c r="A21" s="20" t="s">
        <v>135</v>
      </c>
      <c r="C21" s="21" t="n">
        <f aca="false">C6-0.780125892857143</f>
        <v>0</v>
      </c>
    </row>
    <row r="22" customFormat="false" ht="15" hidden="false" customHeight="false" outlineLevel="0" collapsed="false">
      <c r="A22" s="3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5"/>
    <col collapsed="false" customWidth="true" hidden="false" outlineLevel="0" max="4" min="4" style="0" width="14"/>
    <col collapsed="false" customWidth="true" hidden="false" outlineLevel="0" max="5" min="5" style="0" width="60"/>
    <col collapsed="false" customWidth="true" hidden="false" outlineLevel="0" max="9" min="6" style="0" width="11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3" t="s">
        <v>138</v>
      </c>
    </row>
    <row r="4" customFormat="false" ht="15" hidden="false" customHeight="false" outlineLevel="0" collapsed="false">
      <c r="A4" s="4" t="s">
        <v>139</v>
      </c>
      <c r="B4" s="4" t="s">
        <v>140</v>
      </c>
      <c r="C4" s="4"/>
      <c r="D4" s="4" t="s">
        <v>50</v>
      </c>
      <c r="E4" s="4" t="s">
        <v>15</v>
      </c>
    </row>
    <row r="5" customFormat="false" ht="102.2" hidden="false" customHeight="false" outlineLevel="0" collapsed="false">
      <c r="A5" s="5" t="s">
        <v>141</v>
      </c>
      <c r="B5" s="22" t="n">
        <v>8525.92</v>
      </c>
      <c r="D5" s="2" t="s">
        <v>142</v>
      </c>
      <c r="E5" s="5" t="s">
        <v>143</v>
      </c>
    </row>
    <row r="6" customFormat="false" ht="57.45" hidden="false" customHeight="false" outlineLevel="0" collapsed="false">
      <c r="A6" s="5" t="s">
        <v>144</v>
      </c>
      <c r="B6" s="22" t="n">
        <v>9604.86</v>
      </c>
      <c r="D6" s="2" t="s">
        <v>145</v>
      </c>
      <c r="E6" s="5" t="s">
        <v>146</v>
      </c>
    </row>
    <row r="7" customFormat="false" ht="91" hidden="false" customHeight="false" outlineLevel="0" collapsed="false">
      <c r="A7" s="5" t="s">
        <v>147</v>
      </c>
      <c r="B7" s="23" t="n">
        <v>8481.49</v>
      </c>
      <c r="D7" s="2" t="s">
        <v>148</v>
      </c>
      <c r="E7" s="5" t="s">
        <v>149</v>
      </c>
    </row>
    <row r="8" customFormat="false" ht="46.25" hidden="false" customHeight="false" outlineLevel="0" collapsed="false">
      <c r="A8" s="5" t="s">
        <v>150</v>
      </c>
      <c r="B8" s="22" t="n">
        <v>588.24</v>
      </c>
      <c r="D8" s="2" t="s">
        <v>151</v>
      </c>
      <c r="E8" s="5" t="s">
        <v>152</v>
      </c>
    </row>
    <row r="10" customFormat="false" ht="15" hidden="false" customHeight="false" outlineLevel="0" collapsed="false">
      <c r="A10" s="20" t="s">
        <v>153</v>
      </c>
    </row>
    <row r="11" customFormat="false" ht="15" hidden="false" customHeight="false" outlineLevel="0" collapsed="false">
      <c r="A11" s="4" t="s">
        <v>154</v>
      </c>
      <c r="B11" s="4" t="s">
        <v>155</v>
      </c>
      <c r="C11" s="4" t="s">
        <v>156</v>
      </c>
      <c r="D11" s="4" t="s">
        <v>157</v>
      </c>
      <c r="E11" s="4" t="s">
        <v>158</v>
      </c>
      <c r="F11" s="4" t="s">
        <v>159</v>
      </c>
      <c r="G11" s="4" t="s">
        <v>160</v>
      </c>
      <c r="H11" s="4" t="s">
        <v>161</v>
      </c>
      <c r="I11" s="4" t="s">
        <v>162</v>
      </c>
    </row>
    <row r="12" customFormat="false" ht="15" hidden="false" customHeight="false" outlineLevel="0" collapsed="false">
      <c r="A12" s="5" t="s">
        <v>163</v>
      </c>
      <c r="B12" s="22" t="n">
        <v>-9227.23</v>
      </c>
      <c r="C12" s="22" t="n">
        <v>2541.12</v>
      </c>
      <c r="D12" s="22" t="n">
        <v>5273.37</v>
      </c>
      <c r="E12" s="22" t="n">
        <v>6056.65</v>
      </c>
      <c r="F12" s="22" t="n">
        <v>6285.15</v>
      </c>
      <c r="G12" s="22" t="n">
        <v>6522.8</v>
      </c>
      <c r="H12" s="22" t="n">
        <v>6678.72</v>
      </c>
      <c r="I12" s="22" t="n">
        <v>8718.46</v>
      </c>
    </row>
    <row r="13" customFormat="false" ht="15" hidden="false" customHeight="false" outlineLevel="0" collapsed="false">
      <c r="A13" s="5" t="s">
        <v>164</v>
      </c>
      <c r="B13" s="24" t="n">
        <f aca="false">B12</f>
        <v>-9227.23</v>
      </c>
      <c r="C13" s="24" t="n">
        <f aca="false">B13+C12</f>
        <v>-6686.11</v>
      </c>
      <c r="D13" s="24" t="n">
        <f aca="false">C13+D12</f>
        <v>-1412.74</v>
      </c>
      <c r="E13" s="24" t="n">
        <f aca="false">D13+E12</f>
        <v>4643.91</v>
      </c>
      <c r="F13" s="24" t="n">
        <f aca="false">E13+F12</f>
        <v>10929.06</v>
      </c>
      <c r="G13" s="24" t="n">
        <f aca="false">F13+G12</f>
        <v>17451.86</v>
      </c>
      <c r="H13" s="24" t="n">
        <f aca="false">G13+H12</f>
        <v>24130.58</v>
      </c>
      <c r="I13" s="24" t="n">
        <f aca="false">H13+I12</f>
        <v>32849.04</v>
      </c>
    </row>
    <row r="14" customFormat="false" ht="15" hidden="false" customHeight="false" outlineLevel="0" collapsed="false">
      <c r="A14" s="5" t="s">
        <v>165</v>
      </c>
      <c r="B14" s="24" t="n">
        <f aca="false">B12/(1+Supuestos!$B$22)^0</f>
        <v>-9227.23</v>
      </c>
      <c r="C14" s="24" t="n">
        <f aca="false">C12/(1+Supuestos!$B$22)^1</f>
        <v>2234.32485426137</v>
      </c>
      <c r="D14" s="24" t="n">
        <f aca="false">D12/(1+Supuestos!$B$22)^2</f>
        <v>4076.90440845641</v>
      </c>
      <c r="E14" s="24" t="n">
        <f aca="false">E12/(1+Supuestos!$B$22)^3</f>
        <v>4117.1425510676</v>
      </c>
      <c r="F14" s="24" t="n">
        <f aca="false">F12/(1+Supuestos!$B$22)^4</f>
        <v>3756.64551302933</v>
      </c>
      <c r="G14" s="24" t="n">
        <f aca="false">G12/(1+Supuestos!$B$22)^5</f>
        <v>3427.9917942265</v>
      </c>
      <c r="H14" s="24" t="n">
        <f aca="false">H12/(1+Supuestos!$B$22)^6</f>
        <v>3086.17173738886</v>
      </c>
      <c r="I14" s="24" t="n">
        <f aca="false">I12/(1+Supuestos!$B$22)^7</f>
        <v>3542.31986762734</v>
      </c>
    </row>
    <row r="15" customFormat="false" ht="15" hidden="false" customHeight="false" outlineLevel="0" collapsed="false">
      <c r="A15" s="5" t="s">
        <v>166</v>
      </c>
      <c r="B15" s="24" t="n">
        <f aca="false">B14</f>
        <v>-9227.23</v>
      </c>
      <c r="C15" s="24" t="n">
        <f aca="false">B15+C14</f>
        <v>-6992.90514573863</v>
      </c>
      <c r="D15" s="24" t="n">
        <f aca="false">C15+D14</f>
        <v>-2916.00073728222</v>
      </c>
      <c r="E15" s="24" t="n">
        <f aca="false">D15+E14</f>
        <v>1201.14181378538</v>
      </c>
      <c r="F15" s="24" t="n">
        <f aca="false">E15+F14</f>
        <v>4957.78732681471</v>
      </c>
      <c r="G15" s="24" t="n">
        <f aca="false">F15+G14</f>
        <v>8385.77912104121</v>
      </c>
      <c r="H15" s="24" t="n">
        <f aca="false">G15+H14</f>
        <v>11471.9508584301</v>
      </c>
      <c r="I15" s="24" t="n">
        <f aca="false">H15+I14</f>
        <v>15014.2707260574</v>
      </c>
    </row>
    <row r="16" customFormat="false" ht="15" hidden="false" customHeight="false" outlineLevel="0" collapsed="false">
      <c r="A16" s="5" t="s">
        <v>167</v>
      </c>
      <c r="C16" s="25" t="n">
        <f aca="false">IF(AND(B13&lt;0,C13&gt;=0),0+(-B13)/C12,0)</f>
        <v>0</v>
      </c>
      <c r="D16" s="25" t="n">
        <f aca="false">IF(AND(C13&lt;0,D13&gt;=0),1+(-C13)/D12,0)</f>
        <v>0</v>
      </c>
      <c r="E16" s="25" t="n">
        <f aca="false">IF(AND(D13&lt;0,E13&gt;=0),2+(-D13)/E12,0)</f>
        <v>2.23325435678139</v>
      </c>
      <c r="F16" s="25" t="n">
        <f aca="false">IF(AND(E13&lt;0,F13&gt;=0),3+(-E13)/F12,0)</f>
        <v>0</v>
      </c>
      <c r="G16" s="25" t="n">
        <f aca="false">IF(AND(F13&lt;0,G13&gt;=0),4+(-F13)/G12,0)</f>
        <v>0</v>
      </c>
      <c r="H16" s="25" t="n">
        <f aca="false">IF(AND(G13&lt;0,H13&gt;=0),5+(-G13)/H12,0)</f>
        <v>0</v>
      </c>
      <c r="I16" s="25" t="n">
        <f aca="false">IF(AND(H13&lt;0,I13&gt;=0),6+(-H13)/I12,0)</f>
        <v>0</v>
      </c>
    </row>
    <row r="17" customFormat="false" ht="15" hidden="false" customHeight="false" outlineLevel="0" collapsed="false">
      <c r="A17" s="5" t="s">
        <v>168</v>
      </c>
      <c r="C17" s="25" t="n">
        <f aca="false">IF(AND(B15&lt;0,C15&gt;=0),0+(-B15)/C14,0)</f>
        <v>0</v>
      </c>
      <c r="D17" s="25" t="n">
        <f aca="false">IF(AND(C15&lt;0,D15&gt;=0),1+(-C15)/D14,0)</f>
        <v>0</v>
      </c>
      <c r="E17" s="25" t="n">
        <f aca="false">IF(AND(D15&lt;0,E15&gt;=0),2+(-D15)/E14,0)</f>
        <v>2.70825838578897</v>
      </c>
      <c r="F17" s="25" t="n">
        <f aca="false">IF(AND(E15&lt;0,F15&gt;=0),3+(-E15)/F14,0)</f>
        <v>0</v>
      </c>
      <c r="G17" s="25" t="n">
        <f aca="false">IF(AND(F15&lt;0,G15&gt;=0),4+(-F15)/G14,0)</f>
        <v>0</v>
      </c>
      <c r="H17" s="25" t="n">
        <f aca="false">IF(AND(G15&lt;0,H15&gt;=0),5+(-G15)/H14,0)</f>
        <v>0</v>
      </c>
      <c r="I17" s="25" t="n">
        <f aca="false">IF(AND(H15&lt;0,I15&gt;=0),6+(-H15)/I14,0)</f>
        <v>0</v>
      </c>
    </row>
    <row r="18" customFormat="false" ht="15" hidden="false" customHeight="false" outlineLevel="0" collapsed="false">
      <c r="A18" s="3" t="s">
        <v>169</v>
      </c>
    </row>
    <row r="20" customFormat="false" ht="26.85" hidden="false" customHeight="false" outlineLevel="0" collapsed="false">
      <c r="A20" s="4" t="s">
        <v>87</v>
      </c>
      <c r="B20" s="4" t="s">
        <v>170</v>
      </c>
      <c r="C20" s="4" t="s">
        <v>171</v>
      </c>
      <c r="D20" s="4" t="s">
        <v>172</v>
      </c>
      <c r="E20" s="4" t="s">
        <v>173</v>
      </c>
    </row>
    <row r="21" customFormat="false" ht="15" hidden="false" customHeight="false" outlineLevel="0" collapsed="false">
      <c r="A21" s="5" t="s">
        <v>174</v>
      </c>
      <c r="B21" s="24" t="n">
        <f aca="false">B12+NPV(Supuestos!B22,C12:I12)</f>
        <v>15014.2707260574</v>
      </c>
      <c r="C21" s="22" t="n">
        <v>15013.92</v>
      </c>
      <c r="D21" s="24" t="n">
        <f aca="false">B21-C21</f>
        <v>0.350726057406064</v>
      </c>
      <c r="E21" s="2" t="s">
        <v>175</v>
      </c>
    </row>
    <row r="22" customFormat="false" ht="15" hidden="false" customHeight="false" outlineLevel="0" collapsed="false">
      <c r="A22" s="5" t="s">
        <v>176</v>
      </c>
      <c r="B22" s="14" t="n">
        <f aca="false">IRR(B12:I12)</f>
        <v>0.489633116514942</v>
      </c>
      <c r="C22" s="10" t="n">
        <v>0.48963</v>
      </c>
      <c r="D22" s="14" t="n">
        <f aca="false">B22-C22</f>
        <v>3.11651494239174E-006</v>
      </c>
      <c r="E22" s="2" t="s">
        <v>177</v>
      </c>
    </row>
    <row r="23" customFormat="false" ht="15" hidden="false" customHeight="false" outlineLevel="0" collapsed="false">
      <c r="A23" s="5" t="s">
        <v>178</v>
      </c>
      <c r="B23" s="16" t="n">
        <f aca="false">SUM(C16:I16)</f>
        <v>2.23325435678139</v>
      </c>
      <c r="C23" s="8" t="n">
        <v>2.2333</v>
      </c>
      <c r="D23" s="16" t="n">
        <f aca="false">B23-C23</f>
        <v>-4.56432186108913E-005</v>
      </c>
      <c r="E23" s="2" t="s">
        <v>179</v>
      </c>
    </row>
    <row r="24" customFormat="false" ht="15" hidden="false" customHeight="false" outlineLevel="0" collapsed="false">
      <c r="A24" s="5" t="s">
        <v>180</v>
      </c>
      <c r="B24" s="16" t="n">
        <f aca="false">SUM(C17:I17)</f>
        <v>2.70825838578897</v>
      </c>
      <c r="C24" s="8" t="n">
        <v>2.7083</v>
      </c>
      <c r="D24" s="16" t="n">
        <f aca="false">B24-C24</f>
        <v>-4.16142110304385E-005</v>
      </c>
      <c r="E24" s="2" t="s">
        <v>181</v>
      </c>
    </row>
    <row r="25" customFormat="false" ht="15" hidden="false" customHeight="false" outlineLevel="0" collapsed="false">
      <c r="A25" s="5" t="s">
        <v>182</v>
      </c>
      <c r="B25" s="16" t="n">
        <f aca="false">NPV(Supuestos!B22,C12:I12)/-B12</f>
        <v>2.62716987937414</v>
      </c>
      <c r="C25" s="8" t="n">
        <v>2.6271</v>
      </c>
      <c r="D25" s="16" t="n">
        <f aca="false">B25-C25</f>
        <v>6.98793741356063E-005</v>
      </c>
      <c r="E25" s="2" t="s">
        <v>183</v>
      </c>
    </row>
    <row r="26" customFormat="false" ht="15" hidden="false" customHeight="false" outlineLevel="0" collapsed="false">
      <c r="A26" s="3" t="s">
        <v>184</v>
      </c>
    </row>
    <row r="28" customFormat="false" ht="15" hidden="false" customHeight="false" outlineLevel="0" collapsed="false">
      <c r="A28" s="20" t="s">
        <v>185</v>
      </c>
    </row>
    <row r="29" customFormat="false" ht="15" hidden="false" customHeight="false" outlineLevel="0" collapsed="false">
      <c r="A29" s="4" t="s">
        <v>186</v>
      </c>
      <c r="B29" s="4" t="s">
        <v>187</v>
      </c>
      <c r="C29" s="4" t="s">
        <v>176</v>
      </c>
      <c r="D29" s="4" t="s">
        <v>188</v>
      </c>
      <c r="E29" s="4" t="s">
        <v>15</v>
      </c>
    </row>
    <row r="30" customFormat="false" ht="15" hidden="false" customHeight="false" outlineLevel="0" collapsed="false">
      <c r="A30" s="2" t="s">
        <v>189</v>
      </c>
      <c r="B30" s="22" t="n">
        <v>15013.92</v>
      </c>
      <c r="C30" s="10" t="n">
        <v>0.4896</v>
      </c>
      <c r="D30" s="5" t="str">
        <f aca="false">IF(B30&gt;0,"Sí","No")</f>
        <v>Sí</v>
      </c>
      <c r="E30" s="5" t="s">
        <v>190</v>
      </c>
    </row>
    <row r="31" customFormat="false" ht="15" hidden="false" customHeight="false" outlineLevel="0" collapsed="false">
      <c r="A31" s="2" t="s">
        <v>191</v>
      </c>
      <c r="B31" s="22" t="n">
        <v>7593.58</v>
      </c>
      <c r="C31" s="10" t="n">
        <v>0.3341</v>
      </c>
      <c r="D31" s="5" t="str">
        <f aca="false">IF(B31&gt;0,"Sí","No")</f>
        <v>Sí</v>
      </c>
      <c r="E31" s="5" t="s">
        <v>192</v>
      </c>
    </row>
    <row r="32" customFormat="false" ht="15" hidden="false" customHeight="false" outlineLevel="0" collapsed="false">
      <c r="A32" s="2" t="s">
        <v>193</v>
      </c>
      <c r="B32" s="22" t="n">
        <v>13590.38</v>
      </c>
      <c r="C32" s="10" t="n">
        <v>0.4189</v>
      </c>
      <c r="D32" s="5" t="str">
        <f aca="false">IF(B32&gt;0,"Sí","No")</f>
        <v>Sí</v>
      </c>
      <c r="E32" s="5" t="s">
        <v>194</v>
      </c>
    </row>
    <row r="33" customFormat="false" ht="15" hidden="false" customHeight="false" outlineLevel="0" collapsed="false">
      <c r="A33" s="2" t="s">
        <v>195</v>
      </c>
      <c r="B33" s="22" t="n">
        <v>5599.58</v>
      </c>
      <c r="C33" s="10" t="n">
        <v>0.2661</v>
      </c>
      <c r="D33" s="5" t="str">
        <f aca="false">IF(B33&gt;0,"Sí","No")</f>
        <v>Sí</v>
      </c>
      <c r="E33" s="5" t="s">
        <v>196</v>
      </c>
    </row>
    <row r="34" customFormat="false" ht="15" hidden="false" customHeight="false" outlineLevel="0" collapsed="false">
      <c r="A34" s="2" t="s">
        <v>197</v>
      </c>
      <c r="B34" s="22" t="n">
        <v>2646.68</v>
      </c>
      <c r="C34" s="10" t="n">
        <v>0.2128</v>
      </c>
      <c r="D34" s="5" t="str">
        <f aca="false">IF(B34&gt;0,"Sí","No")</f>
        <v>Sí</v>
      </c>
      <c r="E34" s="5" t="s">
        <v>198</v>
      </c>
    </row>
    <row r="35" customFormat="false" ht="15" hidden="false" customHeight="false" outlineLevel="0" collapsed="false">
      <c r="A35" s="2" t="s">
        <v>199</v>
      </c>
      <c r="B35" s="22" t="n">
        <v>-3938.3</v>
      </c>
      <c r="C35" s="10" t="n">
        <v>-0.0092</v>
      </c>
      <c r="D35" s="5" t="str">
        <f aca="false">IF(B35&gt;0,"Sí","No")</f>
        <v>No</v>
      </c>
      <c r="E35" s="5" t="s">
        <v>200</v>
      </c>
    </row>
    <row r="36" customFormat="false" ht="15" hidden="false" customHeight="false" outlineLevel="0" collapsed="false">
      <c r="A36" s="3" t="s">
        <v>201</v>
      </c>
    </row>
    <row r="38" customFormat="false" ht="15" hidden="false" customHeight="false" outlineLevel="0" collapsed="false">
      <c r="A38" s="20" t="s">
        <v>202</v>
      </c>
    </row>
    <row r="39" customFormat="false" ht="15" hidden="false" customHeight="false" outlineLevel="0" collapsed="false">
      <c r="A39" s="4" t="s">
        <v>139</v>
      </c>
      <c r="B39" s="4" t="s">
        <v>49</v>
      </c>
      <c r="C39" s="4"/>
      <c r="D39" s="4" t="s">
        <v>50</v>
      </c>
      <c r="E39" s="4" t="s">
        <v>15</v>
      </c>
    </row>
    <row r="40" customFormat="false" ht="57.45" hidden="false" customHeight="false" outlineLevel="0" collapsed="false">
      <c r="A40" s="5" t="s">
        <v>203</v>
      </c>
      <c r="B40" s="22" t="n">
        <v>934.53</v>
      </c>
      <c r="D40" s="2" t="s">
        <v>204</v>
      </c>
      <c r="E40" s="5" t="s">
        <v>205</v>
      </c>
    </row>
    <row r="41" customFormat="false" ht="15" hidden="false" customHeight="false" outlineLevel="0" collapsed="false">
      <c r="A41" s="5" t="s">
        <v>206</v>
      </c>
      <c r="B41" s="14" t="n">
        <f aca="false">B40/B5</f>
        <v>0.109610458460788</v>
      </c>
      <c r="D41" s="2" t="s">
        <v>207</v>
      </c>
      <c r="E41" s="5" t="s">
        <v>208</v>
      </c>
    </row>
    <row r="42" customFormat="false" ht="57.45" hidden="false" customHeight="false" outlineLevel="0" collapsed="false">
      <c r="A42" s="5" t="s">
        <v>209</v>
      </c>
      <c r="B42" s="22" t="n">
        <v>1316.12</v>
      </c>
      <c r="D42" s="2" t="s">
        <v>210</v>
      </c>
      <c r="E42" s="5" t="s">
        <v>211</v>
      </c>
    </row>
    <row r="44" customFormat="false" ht="15" hidden="false" customHeight="false" outlineLevel="0" collapsed="false">
      <c r="A44" s="20" t="s">
        <v>212</v>
      </c>
    </row>
    <row r="45" customFormat="false" ht="15" hidden="false" customHeight="false" outlineLevel="0" collapsed="false">
      <c r="A45" s="4" t="s">
        <v>213</v>
      </c>
      <c r="B45" s="4" t="s">
        <v>214</v>
      </c>
      <c r="C45" s="4" t="s">
        <v>187</v>
      </c>
      <c r="D45" s="4" t="s">
        <v>176</v>
      </c>
      <c r="E45" s="4" t="s">
        <v>15</v>
      </c>
    </row>
    <row r="46" customFormat="false" ht="15" hidden="false" customHeight="false" outlineLevel="0" collapsed="false">
      <c r="A46" s="5" t="s">
        <v>215</v>
      </c>
      <c r="B46" s="22" t="n">
        <v>3150</v>
      </c>
      <c r="C46" s="22" t="n">
        <v>6408</v>
      </c>
      <c r="D46" s="10" t="n">
        <v>0.573</v>
      </c>
      <c r="E46" s="5" t="s">
        <v>216</v>
      </c>
    </row>
    <row r="47" customFormat="false" ht="15" hidden="false" customHeight="false" outlineLevel="0" collapsed="false">
      <c r="A47" s="5" t="s">
        <v>217</v>
      </c>
      <c r="B47" s="22" t="n">
        <v>3850</v>
      </c>
      <c r="C47" s="22" t="n">
        <v>172</v>
      </c>
      <c r="D47" s="10" t="n">
        <v>0.15</v>
      </c>
      <c r="E47" s="5" t="s">
        <v>216</v>
      </c>
    </row>
    <row r="48" customFormat="false" ht="15" hidden="false" customHeight="false" outlineLevel="0" collapsed="false">
      <c r="A48" s="5" t="s">
        <v>218</v>
      </c>
      <c r="C48" s="22" t="n">
        <v>20781</v>
      </c>
      <c r="E48" s="5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220</v>
      </c>
    </row>
    <row r="3" customFormat="false" ht="26.85" hidden="false" customHeight="false" outlineLevel="0" collapsed="false">
      <c r="A3" s="4" t="s">
        <v>221</v>
      </c>
      <c r="B3" s="4" t="s">
        <v>222</v>
      </c>
      <c r="C3" s="4" t="s">
        <v>223</v>
      </c>
      <c r="D3" s="4" t="s">
        <v>224</v>
      </c>
    </row>
    <row r="4" customFormat="false" ht="15" hidden="false" customHeight="false" outlineLevel="0" collapsed="false">
      <c r="A4" s="2" t="s">
        <v>225</v>
      </c>
      <c r="B4" s="2" t="s">
        <v>226</v>
      </c>
      <c r="C4" s="2" t="s">
        <v>227</v>
      </c>
      <c r="D4" s="2" t="s">
        <v>228</v>
      </c>
    </row>
    <row r="5" customFormat="false" ht="15" hidden="false" customHeight="false" outlineLevel="0" collapsed="false">
      <c r="A5" s="2" t="s">
        <v>229</v>
      </c>
      <c r="B5" s="2" t="s">
        <v>230</v>
      </c>
      <c r="C5" s="2" t="s">
        <v>231</v>
      </c>
      <c r="D5" s="2" t="s">
        <v>232</v>
      </c>
    </row>
    <row r="6" customFormat="false" ht="15" hidden="false" customHeight="false" outlineLevel="0" collapsed="false">
      <c r="A6" s="2" t="s">
        <v>233</v>
      </c>
      <c r="B6" s="2" t="s">
        <v>234</v>
      </c>
      <c r="C6" s="2" t="s">
        <v>235</v>
      </c>
      <c r="D6" s="2" t="s">
        <v>236</v>
      </c>
    </row>
    <row r="7" customFormat="false" ht="15" hidden="false" customHeight="false" outlineLevel="0" collapsed="false">
      <c r="A7" s="2" t="s">
        <v>237</v>
      </c>
      <c r="B7" s="2" t="s">
        <v>238</v>
      </c>
      <c r="C7" s="2" t="s">
        <v>160</v>
      </c>
      <c r="D7" s="2" t="s">
        <v>239</v>
      </c>
    </row>
    <row r="8" customFormat="false" ht="15" hidden="false" customHeight="false" outlineLevel="0" collapsed="false">
      <c r="A8" s="2" t="s">
        <v>240</v>
      </c>
      <c r="B8" s="2" t="s">
        <v>241</v>
      </c>
      <c r="C8" s="2" t="s">
        <v>242</v>
      </c>
      <c r="D8" s="2" t="s">
        <v>243</v>
      </c>
    </row>
    <row r="9" customFormat="false" ht="15" hidden="false" customHeight="false" outlineLevel="0" collapsed="false">
      <c r="A9" s="2" t="s">
        <v>244</v>
      </c>
      <c r="B9" s="2" t="s">
        <v>245</v>
      </c>
      <c r="C9" s="2" t="s">
        <v>246</v>
      </c>
      <c r="D9" s="2" t="s">
        <v>247</v>
      </c>
    </row>
    <row r="10" customFormat="false" ht="15" hidden="false" customHeight="false" outlineLevel="0" collapsed="false">
      <c r="A10" s="2" t="s">
        <v>248</v>
      </c>
      <c r="B10" s="2" t="s">
        <v>249</v>
      </c>
      <c r="C10" s="2" t="s">
        <v>250</v>
      </c>
      <c r="D10" s="2" t="s">
        <v>251</v>
      </c>
    </row>
    <row r="11" customFormat="false" ht="15" hidden="false" customHeight="false" outlineLevel="0" collapsed="false">
      <c r="A11" s="2" t="s">
        <v>252</v>
      </c>
      <c r="B11" s="2" t="s">
        <v>253</v>
      </c>
      <c r="C11" s="2" t="s">
        <v>254</v>
      </c>
      <c r="D11" s="2" t="s">
        <v>255</v>
      </c>
    </row>
    <row r="12" customFormat="false" ht="15" hidden="false" customHeight="false" outlineLevel="0" collapsed="false">
      <c r="A12" s="2" t="s">
        <v>256</v>
      </c>
      <c r="B12" s="2" t="s">
        <v>257</v>
      </c>
      <c r="C12" s="2" t="s">
        <v>258</v>
      </c>
      <c r="D12" s="2" t="s">
        <v>259</v>
      </c>
    </row>
    <row r="13" customFormat="false" ht="15" hidden="false" customHeight="false" outlineLevel="0" collapsed="false">
      <c r="A13" s="2" t="s">
        <v>260</v>
      </c>
      <c r="B13" s="2" t="s">
        <v>84</v>
      </c>
      <c r="C13" s="2" t="s">
        <v>261</v>
      </c>
      <c r="D13" s="2" t="s">
        <v>262</v>
      </c>
    </row>
    <row r="14" customFormat="false" ht="15" hidden="false" customHeight="false" outlineLevel="0" collapsed="false">
      <c r="A14" s="2" t="s">
        <v>263</v>
      </c>
      <c r="B14" s="2" t="s">
        <v>263</v>
      </c>
      <c r="C14" s="2" t="s">
        <v>264</v>
      </c>
      <c r="D14" s="2" t="s">
        <v>265</v>
      </c>
    </row>
    <row r="15" customFormat="false" ht="15" hidden="false" customHeight="false" outlineLevel="0" collapsed="false">
      <c r="A15" s="2" t="s">
        <v>266</v>
      </c>
      <c r="B15" s="2" t="s">
        <v>267</v>
      </c>
      <c r="C15" s="2" t="s">
        <v>268</v>
      </c>
      <c r="D15" s="2" t="s">
        <v>269</v>
      </c>
    </row>
    <row r="16" customFormat="false" ht="15" hidden="false" customHeight="false" outlineLevel="0" collapsed="false">
      <c r="A16" s="2" t="s">
        <v>270</v>
      </c>
      <c r="B16" s="2" t="s">
        <v>271</v>
      </c>
      <c r="C16" s="2" t="s">
        <v>272</v>
      </c>
      <c r="D16" s="2" t="s">
        <v>273</v>
      </c>
    </row>
    <row r="17" customFormat="false" ht="15" hidden="false" customHeight="false" outlineLevel="0" collapsed="false">
      <c r="A17" s="2" t="s">
        <v>274</v>
      </c>
      <c r="B17" s="2" t="s">
        <v>275</v>
      </c>
      <c r="C17" s="2" t="s">
        <v>276</v>
      </c>
      <c r="D17" s="2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2026-10-12T14:40:10Z</dcterms:created>
  <dc:creator>openpyxl</dc:creator>
  <dc:description/>
  <dc:language>en-US</dc:language>
  <cp:lastModifiedBy/>
  <dcterms:modified xsi:type="dcterms:W3CDTF">2026-10-12T14:40:10Z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